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600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areaChart>
        <grouping val="stacked"/>
        <varyColors val="0"/>
        <ser>
          <idx val="0"/>
          <order val="0"/>
          <tx>
            <strRef>
              <f>Sheet3!$D$16</f>
              <strCache>
                <ptCount val="1"/>
                <pt idx="0">
                  <v>Public Defense Companies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Sheet3!$C$17:$C$21</f>
              <numCache>
                <formatCode>General</formatCode>
                <ptCount val="5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</numCache>
            </numRef>
          </cat>
          <val>
            <numRef>
              <f>Sheet3!$D$17:$D$21</f>
              <numCache>
                <formatCode>"$"#,##0_);[Red]\("$"#,##0\)</formatCode>
                <ptCount val="5"/>
                <pt idx="0">
                  <v>19</v>
                </pt>
                <pt idx="1">
                  <v>19</v>
                </pt>
                <pt idx="2">
                  <v>21</v>
                </pt>
                <pt idx="3">
                  <v>23</v>
                </pt>
                <pt idx="4">
                  <v>23</v>
                </pt>
              </numCache>
            </numRef>
          </val>
        </ser>
        <ser>
          <idx val="1"/>
          <order val="1"/>
          <tx>
            <strRef>
              <f>Sheet3!$E$16</f>
              <strCache>
                <ptCount val="1"/>
                <pt idx="0">
                  <v>Venture Capital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Sheet3!$C$17:$C$21</f>
              <numCache>
                <formatCode>General</formatCode>
                <ptCount val="5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</numCache>
            </numRef>
          </cat>
          <val>
            <numRef>
              <f>Sheet3!$E$17:$E$21</f>
              <numCache>
                <formatCode>"$"#,##0_);[Red]\("$"#,##0\)</formatCode>
                <ptCount val="5"/>
                <pt idx="0">
                  <v>20</v>
                </pt>
                <pt idx="1">
                  <v>50</v>
                </pt>
                <pt idx="2">
                  <v>36</v>
                </pt>
                <pt idx="3">
                  <v>35</v>
                </pt>
                <pt idx="4">
                  <v>40</v>
                </pt>
              </numCache>
            </numRef>
          </val>
        </ser>
        <ser>
          <idx val="2"/>
          <order val="2"/>
          <tx>
            <strRef>
              <f>Sheet3!$F$16</f>
              <strCache>
                <ptCount val="1"/>
                <pt idx="0">
                  <v>Mergers &amp; Acquisitions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numRef>
              <f>Sheet3!$C$17:$C$21</f>
              <numCache>
                <formatCode>General</formatCode>
                <ptCount val="5"/>
                <pt idx="0">
                  <v>2020</v>
                </pt>
                <pt idx="1">
                  <v>2021</v>
                </pt>
                <pt idx="2">
                  <v>2022</v>
                </pt>
                <pt idx="3">
                  <v>2023</v>
                </pt>
                <pt idx="4">
                  <v>2024</v>
                </pt>
              </numCache>
            </numRef>
          </cat>
          <val>
            <numRef>
              <f>Sheet3!$F$17:$F$21</f>
              <numCache>
                <formatCode>"$"#,##0_);[Red]\("$"#,##0\)</formatCode>
                <ptCount val="5"/>
                <pt idx="0">
                  <v>21</v>
                </pt>
                <pt idx="1">
                  <v>37</v>
                </pt>
                <pt idx="2">
                  <v>35</v>
                </pt>
                <pt idx="3">
                  <v>25</v>
                </pt>
                <pt idx="4">
                  <v>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395287</colOff>
      <row>6</row>
      <rowOff>90487</rowOff>
    </from>
    <to>
      <col>16</col>
      <colOff>90487</colOff>
      <row>20</row>
      <rowOff>166687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H28"/>
  <sheetViews>
    <sheetView tabSelected="1" zoomScale="115" zoomScaleNormal="115" workbookViewId="0">
      <selection activeCell="G12" sqref="G12"/>
    </sheetView>
  </sheetViews>
  <sheetFormatPr baseColWidth="10" defaultColWidth="8.83203125" defaultRowHeight="15"/>
  <cols>
    <col width="16.83203125" bestFit="1" customWidth="1" min="4" max="6"/>
  </cols>
  <sheetData>
    <row r="6">
      <c r="D6" s="3" t="n"/>
      <c r="E6" s="3" t="n"/>
      <c r="F6" s="3" t="n"/>
    </row>
    <row r="7">
      <c r="D7" s="3" t="n"/>
      <c r="E7" s="3" t="n"/>
      <c r="F7" s="3" t="n"/>
    </row>
    <row r="8">
      <c r="D8" s="3" t="n"/>
      <c r="E8" s="3" t="n"/>
      <c r="F8" s="3" t="n"/>
    </row>
    <row r="9">
      <c r="D9" s="3" t="n"/>
      <c r="E9" s="3" t="n"/>
      <c r="F9" s="3" t="n"/>
    </row>
    <row r="10">
      <c r="D10" s="3" t="n"/>
      <c r="E10" s="3" t="n"/>
      <c r="F10" s="3" t="n"/>
    </row>
    <row r="11">
      <c r="D11" s="4" t="n"/>
      <c r="E11" s="3" t="n"/>
      <c r="F11" s="3" t="n"/>
    </row>
    <row r="15">
      <c r="D15" t="inlineStr">
        <is>
          <t>REMOVING 2019 SINCE IT'S AN OUTLIER</t>
        </is>
      </c>
    </row>
    <row r="16">
      <c r="D16" t="inlineStr">
        <is>
          <t>Public Defense Companies</t>
        </is>
      </c>
      <c r="E16" t="inlineStr">
        <is>
          <t>Venture Capital</t>
        </is>
      </c>
      <c r="F16" t="inlineStr">
        <is>
          <t>Mergers &amp; Acquisitions</t>
        </is>
      </c>
    </row>
    <row r="17">
      <c r="C17" t="n">
        <v>2020</v>
      </c>
      <c r="D17" s="3" t="n">
        <v>19</v>
      </c>
      <c r="E17" s="3" t="n">
        <v>20</v>
      </c>
      <c r="F17" s="3" t="n">
        <v>21</v>
      </c>
      <c r="G17" s="3" t="n"/>
    </row>
    <row r="18">
      <c r="C18" t="n">
        <v>2021</v>
      </c>
      <c r="D18" s="3" t="n">
        <v>19</v>
      </c>
      <c r="E18" s="3" t="n">
        <v>50</v>
      </c>
      <c r="F18" s="3" t="n">
        <v>37</v>
      </c>
      <c r="G18" s="3" t="n"/>
    </row>
    <row r="19">
      <c r="C19" t="n">
        <v>2022</v>
      </c>
      <c r="D19" s="3" t="n">
        <v>21</v>
      </c>
      <c r="E19" s="3" t="n">
        <v>36</v>
      </c>
      <c r="F19" s="3" t="n">
        <v>35</v>
      </c>
      <c r="G19" s="3" t="n"/>
    </row>
    <row r="20">
      <c r="C20" t="n">
        <v>2023</v>
      </c>
      <c r="D20" s="3" t="n">
        <v>23</v>
      </c>
      <c r="E20" s="3" t="n">
        <v>35</v>
      </c>
      <c r="F20" s="3" t="n">
        <v>25</v>
      </c>
      <c r="G20" s="3" t="n"/>
    </row>
    <row r="21">
      <c r="C21" t="n">
        <v>2024</v>
      </c>
      <c r="D21" s="4" t="n">
        <v>23</v>
      </c>
      <c r="E21" s="3" t="n">
        <v>40</v>
      </c>
      <c r="F21" s="3" t="n">
        <v>35</v>
      </c>
      <c r="G21" s="3" t="n"/>
      <c r="H21" s="3" t="n"/>
    </row>
    <row r="22">
      <c r="C22" t="n">
        <v>2025</v>
      </c>
      <c r="E22" t="n">
        <v>53.2</v>
      </c>
    </row>
    <row r="23">
      <c r="D23" t="inlineStr">
        <is>
          <t>Defense Industrial Base</t>
        </is>
      </c>
      <c r="E23" t="inlineStr">
        <is>
          <t>Venture Capital</t>
        </is>
      </c>
      <c r="F23" t="inlineStr">
        <is>
          <t>Mergers &amp; Acquisitions</t>
        </is>
      </c>
    </row>
    <row r="24">
      <c r="C24" t="n">
        <v>2020</v>
      </c>
      <c r="D24" s="3" t="n">
        <v>19000000000</v>
      </c>
      <c r="E24" s="3" t="n">
        <v>20000000000</v>
      </c>
      <c r="F24" s="3" t="n">
        <v>21000000000</v>
      </c>
    </row>
    <row r="25">
      <c r="C25" t="n">
        <v>2021</v>
      </c>
      <c r="D25" s="3" t="n">
        <v>19000000000</v>
      </c>
      <c r="E25" s="3" t="n">
        <v>20000000000</v>
      </c>
      <c r="F25" s="3" t="n">
        <v>21000000000</v>
      </c>
    </row>
    <row r="26">
      <c r="C26" t="n">
        <v>2022</v>
      </c>
      <c r="D26" s="3" t="n">
        <v>19000000000</v>
      </c>
      <c r="E26" s="3" t="n">
        <v>20000000000</v>
      </c>
      <c r="F26" s="3" t="n">
        <v>21000000000</v>
      </c>
    </row>
    <row r="27">
      <c r="C27" t="n">
        <v>2023</v>
      </c>
      <c r="D27" s="3" t="n">
        <v>19000000000</v>
      </c>
      <c r="E27" s="3" t="n">
        <v>20000000000</v>
      </c>
      <c r="F27" s="3" t="n">
        <v>21000000000</v>
      </c>
    </row>
    <row r="28">
      <c r="C28" t="n">
        <v>2024</v>
      </c>
      <c r="D28" s="3" t="n">
        <v>19000000000</v>
      </c>
      <c r="E28" s="3" t="n">
        <v>20000000000</v>
      </c>
      <c r="F28" s="3" t="n">
        <v>21000000000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Samuel  Moyer</dc:creator>
  <dcterms:created xmlns:dcterms="http://purl.org/dc/terms/" xmlns:xsi="http://www.w3.org/2001/XMLSchema-instance" xsi:type="dcterms:W3CDTF">2025-04-02T15:38:39Z</dcterms:created>
  <dcterms:modified xmlns:dcterms="http://purl.org/dc/terms/" xmlns:xsi="http://www.w3.org/2001/XMLSchema-instance" xsi:type="dcterms:W3CDTF">2026-09-25T17:22:37Z</dcterms:modified>
  <cp:lastModifiedBy>Samuel  Moyer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0x01010085FBD3D614E3F744A7FC28FDB602965C</vt:lpwstr>
  </property>
  <property name="MediaServiceImageTags" fmtid="{D5CDD505-2E9C-101B-9397-08002B2CF9AE}" pid="3">
    <vt:lpwstr xmlns:vt="http://schemas.openxmlformats.org/officeDocument/2006/docPropsVTypes"/>
  </property>
</Properties>
</file>