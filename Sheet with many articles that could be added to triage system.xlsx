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sammoyer/Documents/Claude - Defense PC Dashboard/"/>
    </mc:Choice>
  </mc:AlternateContent>
  <xr:revisionPtr revIDLastSave="0" documentId="13_ncr:1_{9D517638-67E6-A44C-814A-513D9BDEB3B6}" xr6:coauthVersionLast="47" xr6:coauthVersionMax="47" xr10:uidLastSave="{00000000-0000-0000-0000-000000000000}"/>
  <bookViews>
    <workbookView xWindow="0" yWindow="600" windowWidth="28800" windowHeight="15600" activeTab="2" xr2:uid="{00000000-000D-0000-FFFF-FFFF00000000}"/>
  </bookViews>
  <sheets>
    <sheet name="GA_Feeds" sheetId="1" r:id="rId1"/>
    <sheet name="Raw_GA" sheetId="2" r:id="rId2"/>
    <sheet name="Triage" sheetId="3" r:id="rId3"/>
    <sheet name="MasterFinal" sheetId="4" r:id="rId4"/>
  </sheets>
  <definedNames>
    <definedName name="_xlnm._FilterDatabase" localSheetId="2" hidden="1">Triage!$A$1:$AA$993</definedName>
    <definedName name="Z_5776F60D_345E_4EBB_B045_2BE975E46129_.wvu.FilterData" localSheetId="2" hidden="1">Triage!$A$1:$F$116</definedName>
  </definedNames>
  <calcPr calcId="191029"/>
  <customWorkbookViews>
    <customWorkbookView name="Reviewing Filter View" guid="{5776F60D-345E-4EBB-B045-2BE975E46129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93" i="3" l="1"/>
  <c r="E992" i="3"/>
  <c r="E991" i="3"/>
  <c r="E990" i="3"/>
  <c r="E989" i="3"/>
  <c r="E988" i="3"/>
  <c r="E987" i="3"/>
  <c r="E986" i="3"/>
  <c r="E985" i="3"/>
  <c r="E984" i="3"/>
  <c r="E983" i="3"/>
  <c r="E982" i="3"/>
  <c r="E981" i="3"/>
  <c r="E980" i="3"/>
  <c r="E979" i="3"/>
  <c r="E978" i="3"/>
  <c r="E977" i="3"/>
  <c r="E976" i="3"/>
  <c r="E975" i="3"/>
  <c r="E974" i="3"/>
  <c r="E973" i="3"/>
  <c r="E972" i="3"/>
  <c r="E971" i="3"/>
  <c r="E970" i="3"/>
  <c r="E969" i="3"/>
  <c r="E968" i="3"/>
  <c r="E967" i="3"/>
  <c r="E966" i="3"/>
  <c r="E965" i="3"/>
  <c r="E964" i="3"/>
  <c r="E963" i="3"/>
  <c r="E962" i="3"/>
  <c r="E961" i="3"/>
  <c r="E960" i="3"/>
  <c r="E959" i="3"/>
  <c r="E958" i="3"/>
  <c r="E957" i="3"/>
  <c r="E956" i="3"/>
  <c r="E955" i="3"/>
  <c r="E954" i="3"/>
  <c r="E953" i="3"/>
  <c r="E952" i="3"/>
  <c r="E951" i="3"/>
  <c r="E950" i="3"/>
  <c r="E949" i="3"/>
  <c r="E948" i="3"/>
  <c r="E947" i="3"/>
  <c r="E946" i="3"/>
  <c r="E945" i="3"/>
  <c r="E944" i="3"/>
  <c r="E943" i="3"/>
  <c r="E942" i="3"/>
  <c r="E941" i="3"/>
  <c r="E940" i="3"/>
  <c r="E939" i="3"/>
  <c r="E938" i="3"/>
  <c r="E937" i="3"/>
  <c r="E936" i="3"/>
  <c r="E935" i="3"/>
  <c r="E934" i="3"/>
  <c r="E933" i="3"/>
  <c r="E932" i="3"/>
  <c r="E931" i="3"/>
  <c r="E930" i="3"/>
  <c r="E929" i="3"/>
  <c r="E928" i="3"/>
  <c r="E927" i="3"/>
  <c r="E926" i="3"/>
  <c r="E925" i="3"/>
  <c r="E924" i="3"/>
  <c r="E923" i="3"/>
  <c r="E922" i="3"/>
  <c r="E921" i="3"/>
  <c r="E920" i="3"/>
  <c r="E919" i="3"/>
  <c r="E918" i="3"/>
  <c r="E917" i="3"/>
  <c r="E916" i="3"/>
  <c r="E915" i="3"/>
  <c r="E914" i="3"/>
  <c r="E913" i="3"/>
  <c r="E912" i="3"/>
  <c r="E911" i="3"/>
  <c r="E910" i="3"/>
  <c r="E909" i="3"/>
  <c r="E908" i="3"/>
  <c r="E907" i="3"/>
  <c r="E906" i="3"/>
  <c r="E905" i="3"/>
  <c r="E904" i="3"/>
  <c r="E903" i="3"/>
  <c r="E902" i="3"/>
  <c r="E901" i="3"/>
  <c r="E900" i="3"/>
  <c r="E899" i="3"/>
  <c r="E898" i="3"/>
  <c r="E897" i="3"/>
  <c r="E896" i="3"/>
  <c r="E895" i="3"/>
  <c r="E894" i="3"/>
  <c r="E893" i="3"/>
  <c r="E892" i="3"/>
  <c r="E891" i="3"/>
  <c r="E890" i="3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6" i="3"/>
  <c r="E875" i="3"/>
  <c r="E874" i="3"/>
  <c r="E873" i="3"/>
  <c r="E872" i="3"/>
  <c r="E871" i="3"/>
  <c r="E870" i="3"/>
  <c r="E869" i="3"/>
  <c r="E868" i="3"/>
  <c r="E867" i="3"/>
  <c r="E866" i="3"/>
  <c r="E865" i="3"/>
  <c r="E864" i="3"/>
  <c r="E863" i="3"/>
  <c r="E862" i="3"/>
  <c r="E861" i="3"/>
  <c r="E860" i="3"/>
  <c r="E859" i="3"/>
  <c r="E858" i="3"/>
  <c r="E857" i="3"/>
  <c r="E856" i="3"/>
  <c r="E855" i="3"/>
  <c r="E854" i="3"/>
  <c r="E853" i="3"/>
  <c r="E852" i="3"/>
  <c r="E851" i="3"/>
  <c r="E850" i="3"/>
  <c r="E849" i="3"/>
  <c r="E848" i="3"/>
  <c r="E847" i="3"/>
  <c r="E846" i="3"/>
  <c r="E845" i="3"/>
  <c r="E844" i="3"/>
  <c r="E843" i="3"/>
  <c r="E842" i="3"/>
  <c r="E841" i="3"/>
  <c r="E840" i="3"/>
  <c r="E839" i="3"/>
  <c r="E838" i="3"/>
  <c r="E837" i="3"/>
  <c r="E836" i="3"/>
  <c r="E835" i="3"/>
  <c r="E834" i="3"/>
  <c r="E833" i="3"/>
  <c r="E832" i="3"/>
  <c r="E831" i="3"/>
  <c r="E830" i="3"/>
  <c r="E829" i="3"/>
  <c r="E828" i="3"/>
  <c r="E827" i="3"/>
  <c r="E826" i="3"/>
  <c r="E825" i="3"/>
  <c r="E824" i="3"/>
  <c r="E823" i="3"/>
  <c r="E822" i="3"/>
  <c r="E821" i="3"/>
  <c r="E820" i="3"/>
  <c r="E819" i="3"/>
  <c r="E818" i="3"/>
  <c r="E817" i="3"/>
  <c r="E816" i="3"/>
  <c r="E815" i="3"/>
  <c r="E814" i="3"/>
  <c r="E813" i="3"/>
  <c r="E812" i="3"/>
  <c r="E811" i="3"/>
  <c r="E810" i="3"/>
  <c r="E809" i="3"/>
  <c r="E808" i="3"/>
  <c r="E807" i="3"/>
  <c r="E806" i="3"/>
  <c r="E805" i="3"/>
  <c r="E804" i="3"/>
  <c r="E803" i="3"/>
  <c r="E802" i="3"/>
  <c r="E801" i="3"/>
  <c r="E800" i="3"/>
  <c r="E799" i="3"/>
  <c r="E798" i="3"/>
  <c r="E797" i="3"/>
  <c r="E796" i="3"/>
  <c r="E795" i="3"/>
  <c r="E794" i="3"/>
  <c r="E793" i="3"/>
  <c r="E792" i="3"/>
  <c r="E791" i="3"/>
  <c r="E790" i="3"/>
  <c r="E789" i="3"/>
  <c r="E788" i="3"/>
  <c r="E787" i="3"/>
  <c r="E786" i="3"/>
  <c r="E785" i="3"/>
  <c r="E784" i="3"/>
  <c r="E783" i="3"/>
  <c r="E782" i="3"/>
  <c r="E781" i="3"/>
  <c r="E780" i="3"/>
  <c r="E779" i="3"/>
  <c r="E778" i="3"/>
  <c r="E777" i="3"/>
  <c r="E776" i="3"/>
  <c r="E775" i="3"/>
  <c r="E774" i="3"/>
  <c r="E773" i="3"/>
  <c r="E772" i="3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E727" i="3"/>
  <c r="E726" i="3"/>
  <c r="E725" i="3"/>
  <c r="E724" i="3"/>
  <c r="E723" i="3"/>
  <c r="E722" i="3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5" i="3"/>
  <c r="E704" i="3"/>
  <c r="E703" i="3"/>
  <c r="E702" i="3"/>
  <c r="E701" i="3"/>
  <c r="E700" i="3"/>
  <c r="E699" i="3"/>
  <c r="E698" i="3"/>
  <c r="E697" i="3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</calcChain>
</file>

<file path=xl/sharedStrings.xml><?xml version="1.0" encoding="utf-8"?>
<sst xmlns="http://schemas.openxmlformats.org/spreadsheetml/2006/main" count="584" uniqueCount="460">
  <si>
    <t>https://www.google.com/alerts/feeds/09025431128020683164/4830815519505009728</t>
  </si>
  <si>
    <t>https://www.google.com/alerts/feeds/09025431128020683164/3776232429289321661</t>
  </si>
  <si>
    <t>https://www.google.com/alerts/feeds/09025431128020683164/2552550775473449917</t>
  </si>
  <si>
    <t>Title</t>
  </si>
  <si>
    <t>URL</t>
  </si>
  <si>
    <t>Date</t>
  </si>
  <si>
    <t>Summary</t>
  </si>
  <si>
    <t>Keyword Match?</t>
  </si>
  <si>
    <t>Review Status</t>
  </si>
  <si>
    <t>&lt;b&gt;Capital&lt;/b&gt; Southwest Co. (NASDAQ:CSWC) Shares Acquired by Northern Trust Corp</t>
  </si>
  <si>
    <t>https://www.google.com/url?rct=j&amp;sa=t&amp;url=https://www.defenseworld.net/2025/05/31/capital-southwest-co-nasdaqcswc-shares-acquired-by-northern-trust-corp.html&amp;ct=ga&amp;cd=CAIyHDEzYWM2MTZjN2IyNDZmMjI6Y29tOmVuOlVTOlI&amp;usg=AOvVaw1mSHnXIo7x_h9-HJieMnVX</t>
  </si>
  <si>
    <t>2025-05-31T07:30:41Z</t>
  </si>
  <si>
    <t>Read Capital Southwest Co. (NASDAQ:CSWC) Shares Acquired by Northern Trust 
Corp at *Defense* World. ... *venture capital* investments in middle 
market ...</t>
  </si>
  <si>
    <t>Rejected</t>
  </si>
  <si>
    <t>Molten Ventures (OTCMKTS:GRWXF) Trading Up 26.9% – Still a Buy? - &lt;b&gt;Defense&lt;/b&gt; World</t>
  </si>
  <si>
    <t>https://www.google.com/url?rct=j&amp;sa=t&amp;url=https://www.defenseworld.net/2025/05/31/molten-ventures-otcmktsgrwxf-trading-up-26-9-still-a-buy.html&amp;ct=ga&amp;cd=CAIyHDEzYWM2MTZjN2IyNDZmMjI6Y29tOmVuOlVTOlI&amp;usg=AOvVaw2hYWlho1wyk8tmwC3r_DaC</t>
  </si>
  <si>
    <t>2025-05-31T06:30:32Z</t>
  </si>
  <si>
    <t>Mergers and *Acquisitions* · Companies · Home · About Us · Account ... 
Molten Ventures Plc, formerly known as Draper Esprit plc, is a *private 
equity* ...</t>
  </si>
  <si>
    <t>Cetera &lt;b&gt;Investment&lt;/b&gt; Advisers Acquires 2141 Shares of Crescent &lt;b&gt;Capital&lt;/b&gt; BDC, Inc. (NASDAQ:CCAP)</t>
  </si>
  <si>
    <t>https://www.google.com/url?rct=j&amp;sa=t&amp;url=https://www.defenseworld.net/2025/05/30/cetera-investment-advisers-acquires-2141-shares-of-crescent-capital-bdc-inc-nasdaqccap.html&amp;ct=ga&amp;cd=CAIyHDEzYWM2MTZjN2IyNDZmMjI6Y29tOmVuOlVTOlI&amp;usg=AOvVaw0DX-BB_EBm4bZW9hRHZYjD</t>
  </si>
  <si>
    <t>2025-05-30T11:17:15Z</t>
  </si>
  <si>
    <t>... *Capital* BDC in the fourth quarter worth about $192,000. Finally, 
Dynamic Technology Lab *Private* Ltd acquired a new stake in Crescent 
*Capital* BDC ...</t>
  </si>
  <si>
    <t>Mobilizing &lt;b&gt;Private&lt;/b&gt; Finance for the Clean Energy Transition: Japan's Green Transformation ...</t>
  </si>
  <si>
    <t>https://www.google.com/url?rct=j&amp;sa=t&amp;url=https://www.csis.org/analysis/mobilizing-private-finance-clean-energy-transition-japans-green-transformation-and&amp;ct=ga&amp;cd=CAIyHDEzYWM2MTZjN2IyNDZmMjI6Y29tOmVuOlVTOlI&amp;usg=AOvVaw2V9mutdMd_iyxXBrUv7Blw</t>
  </si>
  <si>
    <t>2025-05-30T15:03:55Z</t>
  </si>
  <si>
    <t>*Defense* Budget and *Acquisition* · *Defense* and Security · Economic 
Security ... *private investments* and thus mobilize capital at scale. 
U.S.-Japan ...</t>
  </si>
  <si>
    <t>Mobilizing U.S.-Japan &lt;b&gt;Private&lt;/b&gt; Finance to Power the Energy Transition - CSIS</t>
  </si>
  <si>
    <t>https://www.google.com/url?rct=j&amp;sa=t&amp;url=https://www.csis.org/analysis/mobilizing-us-japan-private-finance-power-energy-transition&amp;ct=ga&amp;cd=CAIyHDEzYWM2MTZjN2IyNDZmMjI6Y29tOmVuOlVTOlI&amp;usg=AOvVaw3XznbIxfl_uwd9qMH4CUYz</t>
  </si>
  <si>
    <t>*Defense* Budget and *Acquisition* · *Defense* and Security · Economic 
Security ... Washington and Tokyo could also consider creating a coinvested 
fund from ...</t>
  </si>
  <si>
    <t>Kochav &lt;b&gt;Defense Acquisition&lt;/b&gt; Corp. Announces Completion Of $253 Million IPO</t>
  </si>
  <si>
    <t>https://www.google.com/url?rct=j&amp;sa=t&amp;url=https://www.barchart.com/story/news/32630377/kochav-defense-acquisition-corp-announces-completion-of-253-million-ipo&amp;ct=ga&amp;cd=CAIyHDEzYWM2MTZjN2IyNDZmMjI6Y29tOmVuOlVTOlI&amp;usg=AOvVaw2OTMN-47Q5Ll1xzcgRys_c</t>
  </si>
  <si>
    <t>2025-05-29T16:00:12Z</t>
  </si>
  <si>
    <t>New York, NY, May 29, 2025 (GLOBE NEWSWIRE) -- Kochav *Defense Acquisition* 
Corp. ... *Private Equity* Markets? Here's How 45,000 Investors are 
Investing in ...</t>
  </si>
  <si>
    <t>Accepted</t>
  </si>
  <si>
    <t>&lt;b&gt;Defense&lt;/b&gt;-Focused SPAC Leads Pair of Listings Totaling $285M - USA Herald</t>
  </si>
  <si>
    <t>https://www.google.com/url?rct=j&amp;sa=t&amp;url=https://usaherald.com/defense-focused-spac-leads-pair-of-listings-totaling-285m/&amp;ct=ga&amp;cd=CAIyHDEzYWM2MTZjN2IyNDZmMjI6Y29tOmVuOlVTOlI&amp;usg=AOvVaw1Z8kAZfX5-wJ2wXjIuyItQ</t>
  </si>
  <si>
    <t>2025-05-28T22:28:40Z</t>
  </si>
  <si>
    <t>... *private equity* and *venture capital* veteran Bala Padmakumar and is 
not currently focused on a specific industry for *acquisitions*. Signup for 
the ...</t>
  </si>
  <si>
    <t>&lt;b&gt;Defense&lt;/b&gt;-Focused SPAC Leads Pair Of Listings Totaling $285M - Law360</t>
  </si>
  <si>
    <t>https://www.google.com/url?rct=j&amp;sa=t&amp;url=https://www.law360.com/articles/2345921/defense-focused-spac-leads-pair-of-listings-totaling-285m&amp;ct=ga&amp;cd=CAIyHDEzYWM2MTZjN2IyNDZmMjI6Y29tOmVuOlVTOlI&amp;usg=AOvVaw0e8O_bkTfWWo_62HJvWZ9r</t>
  </si>
  <si>
    <t>2025-05-28T21:57:57Z</t>
  </si>
  <si>
    <t>*Defense*- and aerospace-focused Kochav *Defense Acquisition* Corp ... 
ChampionsGate, led by *private equity* and *venture capital* veteran 
Bala ...</t>
  </si>
  <si>
    <t>The IPO Buzz: 2 SPACs – ChampionsGate &amp; Kochav &lt;b&gt;Defense&lt;/b&gt; – Raise $285 Million</t>
  </si>
  <si>
    <t>https://www.google.com/url?rct=j&amp;sa=t&amp;url=https://www.iposcoop.com/the-ipo-buzz-2-spacs-championsgate-kochav-defense-raise-285-million/&amp;ct=ga&amp;cd=CAIyHDEzYWM2MTZjN2IyNDZmMjI6Y29tOmVuOlVTOlI&amp;usg=AOvVaw3ktx3oaQofrrOJgqruj7_m</t>
  </si>
  <si>
    <t>2025-05-28T15:20:34Z</t>
  </si>
  <si>
    <t>... *Defense Acquisition* Corp. (KCHVU) from sole book-runner SPAC ... *private 
equity* and *venture capital*, according to the prospectus. CFO ...</t>
  </si>
  <si>
    <t>Rocket Lab to acquire satellite payload manufacturer Geost for $275 million - SpaceNews</t>
  </si>
  <si>
    <t>https://www.google.com/url?rct=j&amp;sa=t&amp;url=https://spacenews.com/rocket-lab-to-acquire-satellite-payload-manufacturer-geost-for-275-million/&amp;ct=ga&amp;cd=CAIyHDEzYWM2MTZjN2IyNDZmMjI6Y29tOmVuOlVTOlI&amp;usg=AOvVaw2i_CaPTtx88QAwzAVoq6Gy</t>
  </si>
  <si>
    <t>2025-05-27T23:03:31Z</t>
  </si>
  <si>
    <t>... military satellites. In a deal announced May 27, Rocket Lab is 
acquiring Geost from the *private equity* firm ATL Partners for $125 
million in cash ...</t>
  </si>
  <si>
    <t>ATL Partners Announces Sale of Geost to Rocket Lab and Launches New &lt;b&gt;Defense&lt;/b&gt; ...</t>
  </si>
  <si>
    <t>https://www.google.com/url?rct=j&amp;sa=t&amp;url=https://www.businesswire.com/news/home/20250526875032/en/ATL-Partners-Announces-Sale-of-Geost-to-Rocket-Lab-and-Launches-New-Defense-Electronics-Platform-Trident-Solutions&amp;ct=ga&amp;cd=CAIyHDEzYWM2MTZjN2IyNDZmMjI6Y29tOmVuOlVTOlI&amp;usg=AOvVaw1kqJ9T2Dj0e19levYrqsSF</t>
  </si>
  <si>
    <t>2025-05-27T20:23:20Z</t>
  </si>
  <si>
    <t>... acquire national security-focused assets following the *acquisition* 
... *private equity* and management consulting firms and deep expertise 
across the...</t>
  </si>
  <si>
    <t>Needs Review</t>
  </si>
  <si>
    <t>2025: &lt;b&gt;Defense&lt;/b&gt; Dealmaking in the Year of Disruption - FTI Consulting</t>
  </si>
  <si>
    <t>https://www.google.com/url?rct=j&amp;sa=t&amp;url=https://www.fticonsulting.com/insights/articles/2025-defense-dealmaking-year-disruption&amp;ct=ga&amp;cd=CAIyHDEzYWM2MTZjN2IyNDZmMjI6Y29tOmVuOlVTOlI&amp;usg=AOvVaw214TDhoGp7yObK143Nmse7</t>
  </si>
  <si>
    <t>2025-05-27T00:44:53Z</t>
  </si>
  <si>
    <t>Rising players in the *defense* space without sufficient capital may 
represent a promising target for *acquisition*. ... Four Predictions for *Private 
Equity* ...</t>
  </si>
  <si>
    <t>49379 Shares in Compass Diversified (NYSE:CODI) Acquired by D. E. Shaw &amp; Co. Inc.</t>
  </si>
  <si>
    <t>https://www.google.com/url?rct=j&amp;sa=t&amp;url=https://www.defenseworld.net/2025/05/24/49379-shares-in-compass-diversified-nysecodi-acquired-by-d-e-shaw-co-inc.html&amp;ct=ga&amp;cd=CAIyHDEzYWM2MTZjN2IyNDZmMjI6Y29tOmVuOlVTOlI&amp;usg=AOvVaw3mT_8CIkk9SHNgCgGcLySe</t>
  </si>
  <si>
    <t>2025-05-24T23:45:25Z</t>
  </si>
  <si>
    <t>49379 Shares in Compass Diversified (NYSE:CODI) Acquired by D. E. Shaw &amp; 
Co. Inc. at *Defense* World. ... Compass Diversified is a *private equity* 
firm ...</t>
  </si>
  <si>
    <t>CT &lt;b&gt;Private Equity&lt;/b&gt; Trust (LON:CTPE) Trading Up 1% – Here's Why - &lt;b&gt;Defense&lt;/b&gt; World</t>
  </si>
  <si>
    <t>https://www.google.com/url?rct=j&amp;sa=t&amp;url=https://www.defenseworld.net/2025/05/24/ct-private-equity-trust-lonctpe-trading-up-1-heres-why.html&amp;ct=ga&amp;cd=CAIyHDEzYWM2MTZjN2IyNDZmMjI6Y29tOmVuOlVTOlI&amp;usg=AOvVaw106jDfPcCP-BWSz7BtAbBD</t>
  </si>
  <si>
    <t>2025-05-24T16:09:03Z</t>
  </si>
  <si>
    <t>In other news, insider Audrey Baxter acquired 2,000 shares of the stock in 
a transaction dated Tuesday, April 8th. The stock was purchased at an ...</t>
  </si>
  <si>
    <t>RBC Bearings Bolsters Aerospace and &lt;b&gt;Defense&lt;/b&gt; Segment with VACCO Industries &lt;b&gt;Acquisition&lt;/b&gt; - MSN</t>
  </si>
  <si>
    <t>https://www.google.com/url?rct=j&amp;sa=t&amp;url=https://www.msn.com/en-us/money/topstocks/rbc-bearings-bolsters-aerospace-and-defense-segment-with-vacco-industries-acquisition/ar-AA1Fmvw7&amp;ct=ga&amp;cd=CAIyHDEzYWM2MTZjN2IyNDZmMjI6Y29tOmVuOlVTOlI&amp;usg=AOvVaw2hzzqaTL5x6nq1KsvTMNKW</t>
  </si>
  <si>
    <t>2025-05-24T10:51:04Z</t>
  </si>
  <si>
    <t>RBC Bearings Bolsters Aerospace and *Defense* Segment with VACCO Industries 
*Acquisition* ... *Private equity* firm buys The Telegraph, ending two-year 
sale ...</t>
  </si>
  <si>
    <t>Leisure Stocks To Consider – May 20th - &lt;b&gt;Defense&lt;/b&gt; World</t>
  </si>
  <si>
    <t>https://www.google.com/url?rct=j&amp;sa=t&amp;url=https://www.defenseworld.net/2025/05/22/leisure-stocks-to-consider-may-20th.html&amp;ct=ga&amp;cd=CAIyHDEzYWM2MTZjN2IyNDZmMjI6Y29tOmVuOlVTOlI&amp;usg=AOvVaw306PNbQKZXQzl-IovKU_Pi</t>
  </si>
  <si>
    <t>2025-05-22T07:18:25Z</t>
  </si>
  <si>
    <t>The firm's *private equity* investments include traditional buyouts ... 
*acquisition*, and industry consolidation transactions. Shares of APO ...</t>
  </si>
  <si>
    <t>Fund Files: Franklin to convert 10 Putnam &lt;b&gt;funds&lt;/b&gt; to ETFs; BlackRock launches &lt;b&gt;defense&lt;/b&gt; ETF</t>
  </si>
  <si>
    <t>https://www.google.com/url?rct=j&amp;sa=t&amp;url=https://citywire.com/ria/news/fund-files-franklin-to-convert-10-putnam-funds-to-etfs-blackrock-launches-defense-etf/a2466329&amp;ct=ga&amp;cd=CAIyHDEzYWM2MTZjN2IyNDZmMjI6Y29tOmVuOlVTOlI&amp;usg=AOvVaw2_N-mBF2Gu3PWt-ZV5Mc_0</t>
  </si>
  <si>
    <t>2025-05-21T19:22:21Z</t>
  </si>
  <si>
    <t>Lido's *private equity* backer, Charlesbank Capital Partners, is retaining 
a stake in the RIA. Mergers &amp; *Acquisitions* May 21, 2025. PE firm 
Aquiline ...</t>
  </si>
  <si>
    <t>MKB Builds a Stronger Line of &lt;b&gt;Defense&lt;/b&gt; Against Erosion with Addition of Silt Saver</t>
  </si>
  <si>
    <t>https://www.google.com/url?rct=j&amp;sa=t&amp;url=https://www.businesswire.com/news/home/20250520499868/en/MKB-Builds-a-Stronger-Line-of-Defense-Against-Erosion-with-Addition-of-Silt-Saver&amp;ct=ga&amp;cd=CAIyHDEzYWM2MTZjN2IyNDZmMjI6Y29tOmVuOlVTOlI&amp;usg=AOvVaw10nndf5oE4kJES9jYhx6zo</t>
  </si>
  <si>
    <t>2025-05-21T12:04:22Z</t>
  </si>
  <si>
    <t>... *acquisition* of Silt S ... Align Capital Partners (ACP) is a 
growth-oriented *private equity* firm ...</t>
  </si>
  <si>
    <t>Date Created</t>
  </si>
  <si>
    <t>Mirador &lt;b&gt;Capital&lt;/b&gt; Partners LP &lt;b&gt;Raises&lt;/b&gt; Stock Position in Costco Wholesale Co. (NASDAQ:COST)</t>
  </si>
  <si>
    <t>https://www.google.com/url?rct=j&amp;sa=t&amp;url=https://www.marketbeat.com/instant-alerts/filing-mirador-capital-partners-lp-raises-stock-position-in-costco-wholesale-co-nasdaqcost-2025-06-01/&amp;ct=ga&amp;cd=CAIyHDMxNmE1OTNkZTEyZjQ2YTM6Y29tOmVuOlVTOlI&amp;usg=AOvVaw3MHVE3Osk2wKwqtbCF25vG</t>
  </si>
  <si>
    <t>2025-06-01T11:03:00Z</t>
  </si>
  <si>
    <t>Mirador *Capital* Partners LP *Raises* Stock Position in Costco Wholesale 
Co. ... 3 *Defense* Stocks That Will Profit From a Golden Dome. By Chris 
Markoch ...</t>
  </si>
  <si>
    <t>Karen Read sells home and taps retirement fund to pay mounting legal bills in murder retrial</t>
  </si>
  <si>
    <t>https://www.google.com/url?rct=j&amp;sa=t&amp;url=https://www.foxnews.com/us/karen-read-sells-home-taps-retirement-fund-pay-mounting-legal-bills-murder-retrial&amp;ct=ga&amp;cd=CAIyHDMxNmE1OTNkZTEyZjQ2YTM6Y29tOmVuOlVTOlI&amp;usg=AOvVaw2by_cXT1ohzN8bl6U6HGMn</t>
  </si>
  <si>
    <t>2025-06-01T08:07:47Z</t>
  </si>
  <si>
    <t>A Justice for Karen Read legal *defense* fund, organized by Werksman 
Jackson &amp; Quinn LLP, is closing in on $1 million *raised*, with donations 
continuing ...</t>
  </si>
  <si>
    <t>Top &lt;b&gt;defense&lt;/b&gt; officials say Ukraine war has blurred lines, exposing global threats</t>
  </si>
  <si>
    <t>https://www.google.com/url?rct=j&amp;sa=t&amp;url=https://www.timesunion.com/news/world/article/top-defense-officials-say-ukraine-war-has-blurred-20355452.php&amp;ct=ga&amp;cd=CAIyHDMxNmE1OTNkZTEyZjQ2YTM6Y29tOmVuOlVTOlI&amp;usg=AOvVaw03YoDhg-GQ6ekSh2WSWGvK</t>
  </si>
  <si>
    <t>2025-06-01T06:02:59Z</t>
  </si>
  <si>
    <t>*Capital* Region · Hudson Valley · Business · Opinion · Entertainment · 
Food · Sports ... Were you Seen at the Community Foundation's 2025 *Raise* 
the ...</t>
  </si>
  <si>
    <t>Pure Storage (NYSE:PSTG) &lt;b&gt;Raised&lt;/b&gt; to Buy at Wall Street Zen - &lt;b&gt;Defense&lt;/b&gt; World</t>
  </si>
  <si>
    <t>https://www.google.com/url?rct=j&amp;sa=t&amp;url=https://www.defenseworld.net/2025/06/01/pure-storage-nysepstg-raised-to-buy-at-wall-street-zen.html&amp;ct=ga&amp;cd=CAIyHDMxNmE1OTNkZTEyZjQ2YTM6Y29tOmVuOlVTOlI&amp;usg=AOvVaw1n-wgah6wvrlAi3VHj2Rt-</t>
  </si>
  <si>
    <t>2025-06-01T05:51:58Z</t>
  </si>
  <si>
    <t>Geode *Capital* Management LLC now owns 6,748,553 shares of the technology 
company's stock valued at $413,982,000 after buying an additional 
1,366,458 ...</t>
  </si>
  <si>
    <t>US &lt;b&gt;defense&lt;/b&gt; secretary warns Indo-Pacific allies of 'imminent' threat from China - FOX 5 San Diego</t>
  </si>
  <si>
    <t>https://www.google.com/url?rct=j&amp;sa=t&amp;url=https://fox5sandiego.com/news/world-news/ap-international/ap-hegseth-says-us-will-stand-by-indo-pacific-allies-against-imminent-threat-of-china/&amp;ct=ga&amp;cd=CAIyHDMxNmE1OTNkZTEyZjQ2YTM6Y29tOmVuOlVTOlI&amp;usg=AOvVaw1HpeutGCX4ll12dUaxq_5J</t>
  </si>
  <si>
    <t>2025-05-31T21:51:26Z</t>
  </si>
  <si>
    <t>He urged Indo-Pacific countries to increase *defense* spending to ... 
Australian actor *raising money* to cryogenically preserve … Iran has ...</t>
  </si>
  <si>
    <t>https://www.google.com/url?rct=j&amp;sa=t&amp;url=https://myfox8.com/news/international/ap-international/ap-top-defense-officials-say-ukraine-war-has-blurred-lines-exposing-global-threats/&amp;ct=ga&amp;cd=CAIyHDMxNmE1OTNkZTEyZjQ2YTM6Y29tOmVuOlVTOlI&amp;usg=AOvVaw1DXmn6NsKyjBbKBssWJArK</t>
  </si>
  <si>
    <t>2025-06-01T05:26:06Z</t>
  </si>
  <si>
    <t>On Saturday, U.S. *Defense* Secretary Pete Hegseth suggested European 
countries should focus their *defense* ... *raising money* to cryogenically 
preserve …</t>
  </si>
  <si>
    <t>&lt;b&gt;Raising Capital&lt;/b&gt;, Raising &lt;b&gt;Defenses&lt;/b&gt;: Turning Endowments Into Legal Lifelines - Forbes</t>
  </si>
  <si>
    <t>https://www.google.com/url?rct=j&amp;sa=t&amp;url=https://www.forbes.com/sites/michellembekeani/2025/05/31/raising-capital-raising-defenses-turning-endowments-into-legal-lifelines/&amp;ct=ga&amp;cd=CAIyHDMxNmE1OTNkZTEyZjQ2YTM6Y29tOmVuOlVTOlI&amp;usg=AOvVaw0yxNQBzDqLVM4ZhKiM_KSz</t>
  </si>
  <si>
    <t>2025-06-01T00:45:17Z</t>
  </si>
  <si>
    <t>As legal threats to higher education grow, *capital* campaigns could be 
reimagined—not just as tools to build campuses, but to defend them in court.</t>
  </si>
  <si>
    <t>Carney's Canada &lt;b&gt;defense&lt;/b&gt; plan could see double economic return: CIBC - MSN</t>
  </si>
  <si>
    <t>https://www.google.com/url?rct=j&amp;sa=t&amp;url=https://www.msn.com/en-us/money/markets/carney-s-canada-defense-plan-could-see-double-economic-return-cibc/ar-AA1FEWHa%3Focid%3DUE07DHP&amp;ct=ga&amp;cd=CAIyHDMxNmE1OTNkZTEyZjQ2YTM6Y29tOmVuOlVTOlI&amp;usg=AOvVaw0_2FNCvpHxXllcPin7hEq6</t>
  </si>
  <si>
    <t>2025-05-31T23:22:22Z</t>
  </si>
  <si>
    <t>Canadian Prime Minister Mark Carney's ambitious *increase* in *defense* ... 
*Capital* Gains Exemptions Wealth Advisors Don't Always Mention. SmartAsset.</t>
  </si>
  <si>
    <t>SpaceX, Palantir, Anduril Power The Golden Dome &lt;b&gt;Defense&lt;/b&gt; Push - Forbes</t>
  </si>
  <si>
    <t>https://www.google.com/url?rct=j&amp;sa=t&amp;url=https://www.forbes.com/sites/joelshulman/2025/05/31/spacex-palantir-anduril-power-the-golden-dome-defense-push/&amp;ct=ga&amp;cd=CAIyHDMxNmE1OTNkZTEyZjQ2YTM6Y29tOmVuOlVTOlI&amp;usg=AOvVaw0ZnZmd_JKPqpVawYcoxMMM</t>
  </si>
  <si>
    <t>2025-05-31T21:43:16Z</t>
  </si>
  <si>
    <t>With *rising* threats ranging from hypersonic missiles to rogue-state 
satellite programs, the United States is laying the foundation for what 
could be ...</t>
  </si>
  <si>
    <t>Hegseth gutted Pentagon office that said it would oversee testing of Golden Dome missile ... - MSN</t>
  </si>
  <si>
    <t>https://www.google.com/url?rct=j&amp;sa=t&amp;url=https://www.msn.com/en-us/news/us/hegseth-gutted-pentagon-office-that-said-it-would-oversee-testing-of-golden-dome-missile-defense-system/ar-AA1FOm1V&amp;ct=ga&amp;cd=CAIyHDMxNmE1OTNkZTEyZjQ2YTM6Y29tOmVuOlVTOlI&amp;usg=AOvVaw2Iv9-DtPk-gdgE13Q34Fx_</t>
  </si>
  <si>
    <t>2025-05-31T19:59:40Z</t>
  </si>
  <si>
    <t>... *defense* system and the programs associated with the massive, multi 
... *Capital* Gains Exemptions Wealth Advisors Don't Always Mention.</t>
  </si>
  <si>
    <t>Ameriprise Financial Inc. Sells 20297 Shares of Summit Hotel Properties, Inc. (NYSE:INN)</t>
  </si>
  <si>
    <t>https://www.google.com/url?rct=j&amp;sa=t&amp;url=https://www.defenseworld.net/2025/05/31/ameriprise-financial-inc-sells-20297-shares-of-summit-hotel-properties-inc-nyseinn.html&amp;ct=ga&amp;cd=CAIyHDMxNmE1OTNkZTEyZjQ2YTM6Y29tOmVuOlVTOlI&amp;usg=AOvVaw3Dr9Hq-KneR8ZsKa2ufSWg</t>
  </si>
  <si>
    <t>2025-05-31T14:32:12Z</t>
  </si>
  <si>
    <t>Victory *Capital* Management Inc. *raised* its holdings in Summit Hotel ... 
*Defense* World members receive the latest stock market news and a ...</t>
  </si>
  <si>
    <t>BMO &lt;b&gt;Capital&lt;/b&gt; Markets &lt;b&gt;Raises&lt;/b&gt; Zscaler (NASDAQ:ZS) Price Target to $295.00 - MarketBeat</t>
  </si>
  <si>
    <t>https://www.google.com/url?rct=j&amp;sa=t&amp;url=https://www.marketbeat.com/instant-alerts/bmo-capital-markets-raises-zscaler-nasdaqzs-price-target-to-29500-2025-05-30/&amp;ct=ga&amp;cd=CAIyHDMxNmE1OTNkZTEyZjQ2YTM6Y29tOmVuOlVTOlI&amp;usg=AOvVaw18rTdiqQ6gtkdhV9rsqAR4</t>
  </si>
  <si>
    <t>2025-05-31T18:19:59Z</t>
  </si>
  <si>
    <t>BMO *Capital* Markets *Raises* Zscaler (NASDAQ:ZS) Price Target to $295.00 
... 3 *Defense* Stocks That Will Profit From a Golden Dome · What is a 
Bond ...</t>
  </si>
  <si>
    <t>Space Forge &lt;b&gt;raises&lt;/b&gt; $30M Series A to make chip materials in space | TechCrunch</t>
  </si>
  <si>
    <t>https://www.google.com/url?rct=j&amp;sa=t&amp;url=https://techcrunch.com/2025/05/31/space-forge-raises-30m-series-a-to-make-chip-materials-in-space/&amp;ct=ga&amp;cd=CAIyHDMxNmE1OTNkZTEyZjQ2YTM6Y29tOmVuOlVTOlI&amp;usg=AOvVaw1CE9bG8ZwHb7AOh_kA4Byf</t>
  </si>
  <si>
    <t>2025-05-31T16:04:58Z</t>
  </si>
  <si>
    <t>... *defense* systems. This dual-use potential explains why NATO ... *venture 
capital* trends. As of May 2025, her reporting for TechCrunch ...</t>
  </si>
  <si>
    <t>Meta Platforms Soars with AI Innovations and &lt;b&gt;Defense&lt;/b&gt; Deal - TipRanks.com</t>
  </si>
  <si>
    <t>https://www.google.com/url?rct=j&amp;sa=t&amp;url=https://www.tipranks.com/news/weekend-updates/meta-platforms-soars-with-ai-innovations-and-defense-deal&amp;ct=ga&amp;cd=CAIyHDMxNmE1OTNkZTEyZjQ2YTM6Y29tOmVuOlVTOlI&amp;usg=AOvVaw1rk-8moL9WnRQr_cn1y3gW</t>
  </si>
  <si>
    <t>2025-05-31T15:06:59Z</t>
  </si>
  <si>
    <t>Analysts have responded positively to Meta's growth trajectory, with Loop 
*Capital* and Guggenheim analysts *raising* their price targets for META ...</t>
  </si>
  <si>
    <t>US calls for Asia allies to boost &lt;b&gt;defenses&lt;/b&gt; in face of China's 'imminent' threat, Hegseth tells ...</t>
  </si>
  <si>
    <t>https://www.google.com/url?rct=j&amp;sa=t&amp;url=https://www.msn.com/en-us/news/world/us-calls-for-asia-allies-to-boost-defenses-in-face-of-china-s-imminent-threat-hegseth-tells-top-defense-forum/ar-AA1FOAtI&amp;ct=ga&amp;cd=CAIyHDMxNmE1OTNkZTEyZjQ2YTM6Y29tOmVuOlVTOlI&amp;usg=AOvVaw15Wnvyd9_hjQWb0vzGnBm2</t>
  </si>
  <si>
    <t>2025-05-31T14:37:27Z</t>
  </si>
  <si>
    <t>Hegseth urged Asian countries to *increase* their *defense* spending ... 
*Capital* Gains Exemptions Wealth Advisors Don't Always Mention. SmartAsset.</t>
  </si>
  <si>
    <t>Pentagon chief urges Asian allies to invest in &lt;b&gt;defense&lt;/b&gt; to deter China - Kyodo News</t>
  </si>
  <si>
    <t>https://www.google.com/url?rct=j&amp;sa=t&amp;url=https://english.kyodonews.net/news/2025/05/699afb49138d-pentagon-chief-urges-asian-allies-to-invest-in-defense-to-deter-china.html%3Fphrase%3Dthe%2520shooting%2520death%2520of%2520a%2520south%2520korean%2520fisheries%2520official%2520by%2520the%2520north%2520korean%2520military%26words%3D&amp;ct=ga&amp;cd=CAIyHDMxNmE1OTNkZTEyZjQ2YTM6Y29tOmVuOlVTOlI&amp;usg=AOvVaw1WA5my9mKlAxScvIexrDun</t>
  </si>
  <si>
    <t>2025-05-31T11:19:23Z</t>
  </si>
  <si>
    <t>While the return of President Donald Trump to the White House has *raised* 
concerns over his go-it-alone approach to foreign affairs and 
transactional ...</t>
  </si>
  <si>
    <t>Britain plans at least six &lt;b&gt;new&lt;/b&gt; weapons &lt;b&gt;factories&lt;/b&gt; in &lt;b&gt;defence&lt;/b&gt; review - Reuters</t>
  </si>
  <si>
    <t>https://www.google.com/url?rct=j&amp;sa=t&amp;url=https://www.reuters.com/business/aerospace-defense/britain-plans-least-six-new-weapons-factories-defence-review-2025-05-31/&amp;ct=ga&amp;cd=CAIyGmEyZWM3MTRjMDNiY2Y1ZGI6Y29tOmVuOlVT&amp;usg=AOvVaw2k2P4YjKLCYe055vPoNmrb</t>
  </si>
  <si>
    <t>2025-05-31T21:44:36Z</t>
  </si>
  <si>
    <t>Britain will build at least six *new factories* producing weapons and 
explosives as part of a major review of its *defence* capabilities, ...</t>
  </si>
  <si>
    <t>Mack &lt;b&gt;Defense&lt;/b&gt; to Make Prototype Medium Tactical Truck for U.S. Marine Corps</t>
  </si>
  <si>
    <t>https://www.google.com/url?rct=j&amp;sa=t&amp;url=https://www.fleetequipmentmag.com/mack-defense-prototype-medium-tactical-truck/&amp;ct=ga&amp;cd=CAIyGmEyZWM3MTRjMDNiY2Y1ZGI6Y29tOmVuOlVT&amp;usg=AOvVaw28SHe3ldsQZyURT4sSVH4a</t>
  </si>
  <si>
    <t>2025-05-31T14:58:07Z</t>
  </si>
  <si>
    <t>... *New Manufacturing Plant in* Fontana, CA. The 210,000-square-foot 
Fontana ... *products* in its line of complete strut assemblies and 
shock ...</t>
  </si>
  <si>
    <t>Meta to help develop &lt;b&gt;new&lt;/b&gt; AI-powered military &lt;b&gt;products&lt;/b&gt; - CBS News</t>
  </si>
  <si>
    <t>https://www.google.com/url?rct=j&amp;sa=t&amp;url=https://www.cbsnews.com/news/meta-ai-military-products-anduril/&amp;ct=ga&amp;cd=CAIyGmEyZWM3MTRjMDNiY2Y1ZGI6Y29tOmVuOlVT&amp;usg=AOvVaw0R3ghws7tCpZtqFzzeUAwq</t>
  </si>
  <si>
    <t>2025-05-29T21:35:06Z</t>
  </si>
  <si>
    <t>Meta is teaming with *defense* startup Anduril Industries to create *new 
defense products* that use AI and augmented reality.</t>
  </si>
  <si>
    <t>Nordic nations embrace total &lt;b&gt;defense&lt;/b&gt; as the risk of sabotage and war rises - ClickOrlando.com</t>
  </si>
  <si>
    <t>https://www.google.com/url?rct=j&amp;sa=t&amp;url=https://www.clickorlando.com/news/world/2025/05/29/nordic-nations-embrace-total-defense-as-the-risk-of-sabotage-and-war-rises/&amp;ct=ga&amp;cd=CAIyGmEyZWM3MTRjMDNiY2Y1ZGI6Y29tOmVuOlVT&amp;usg=AOvVaw1a2Oxlvt1ALHWCahoeGs9l</t>
  </si>
  <si>
    <t>2025-05-29T04:34:18Z</t>
  </si>
  <si>
    <t>... weapons currently used in Ukraine. The company opened a *new factory* 
in 2024, ramping up production of advanced missiles used by multiple 
European ...</t>
  </si>
  <si>
    <t>Ukraine Accuses China of Supplying Russian Military &lt;b&gt;Factories&lt;/b&gt; - Business Insider</t>
  </si>
  <si>
    <t>https://www.google.com/url?rct=j&amp;sa=t&amp;url=https://www.businessinsider.com/ukraine-official-says-china-supplying-russia-military-production-factories-weapons-2025-5&amp;ct=ga&amp;cd=CAIyGmEyZWM3MTRjMDNiY2Y1ZGI6Y29tOmVuOlVT&amp;usg=AOvVaw0y4f9MGmaqC5j56Hml5ugs</t>
  </si>
  <si>
    <t>2025-05-28T14:13:16Z</t>
  </si>
  <si>
    <t>Ukraine has accused China of supplying key equipment and *supplies* to 
Russian *defense manufacturing* facilities · A Ukrainian intelligence chief 
accused ...</t>
  </si>
  <si>
    <t>China denies Ukraine's allegations of supplying arms, &lt;b&gt;defense&lt;/b&gt; components to Russia</t>
  </si>
  <si>
    <t>https://www.google.com/url?rct=j&amp;sa=t&amp;url=https://kyivindependent.com/china-denies-ukraines-allegations-of-supplying-weapons-defense-industry-components-to-russia/&amp;ct=ga&amp;cd=CAIyGmEyZWM3MTRjMDNiY2Y1ZGI6Y29tOmVuOlVT&amp;usg=AOvVaw1phcSR_QFYVfLboWSgIJQT</t>
  </si>
  <si>
    <t>2025-05-27T16:34:52Z</t>
  </si>
  <si>
    <t>... *products*, gunpowder, and components for the *defense manufacturing* 
industry. China's reaction follows remarks by the head of Ukraine's 
Foreign ...</t>
  </si>
  <si>
    <t>MITRE: 'We Still Have Work to Do' to Attract &lt;b&gt;New Defense&lt;/b&gt; Contractors</t>
  </si>
  <si>
    <t>https://www.google.com/url?rct=j&amp;sa=t&amp;url=https://www.airandspaceforces.com/mitre-we-still-have-work-to-do-to-attract-new-defense-contractors/&amp;ct=ga&amp;cd=CAIyGmEyZWM3MTRjMDNiY2Y1ZGI6Y29tOmVuOlVT&amp;usg=AOvVaw1VHaUdzOM5trrcMDD6lRCL</t>
  </si>
  <si>
    <t>2025-05-26T20:59:17Z</t>
  </si>
  <si>
    <t>The *new factory* should employ some 4,000 people and make various 
autonomous air vehicles and other *defense product* at an expected high 
volume.</t>
  </si>
  <si>
    <t>Ukrainian attack targets Russian &lt;b&gt;facility&lt;/b&gt; 800 kilometers from border that &lt;b&gt;supplies&lt;/b&gt; gunpowder ...</t>
  </si>
  <si>
    <t>https://www.google.com/url?rct=j&amp;sa=t&amp;url=https://euromaidanpress.com/2025/05/26/ukrainian-attack-targets-russian-facility-800-kilometers-from-border-that-supplies-gunpowder-manufacturers/&amp;ct=ga&amp;cd=CAIyGmEyZWM3MTRjMDNiY2Y1ZGI6Y29tOmVuOlVT&amp;usg=AOvVaw3g8gtZHM9blFv-xJgpJznM</t>
  </si>
  <si>
    <t>2025-05-26T12:47:56Z</t>
  </si>
  <si>
    <t>Ukrainian *Defense* Forces previously struck the same *plant in* December 
2024. Earlier reports indicated that Ukrainian strike drones hit the 
Azot ...</t>
  </si>
  <si>
    <t>Drones Attack Chemical Plant Supplying Rocket Engine Components - Militarnyi</t>
  </si>
  <si>
    <t>https://www.google.com/url?rct=j&amp;sa=t&amp;url=https://militarnyi.com/en/news/drones-attack-chemical-plant-supplying-rocket-engine-components/&amp;ct=ga&amp;cd=CAIyGmEyZWM3MTRjMDNiY2Y1ZGI6Y29tOmVuOlVT&amp;usg=AOvVaw2Wg8l0A7Fbbr51nyPbQYEv</t>
  </si>
  <si>
    <t>2025-05-26T11:40:05Z</t>
  </si>
  <si>
    <t>Primarily, the enterprise *supplies* its *products* to the Federal State 
Enterprise Kazan State Owned Gunpowder Plant — a *defense* enterprise 
located in ...</t>
  </si>
  <si>
    <t>Explosions shake Oryol region: Important &lt;b&gt;defense factory&lt;/b&gt; hit, says media - MSN</t>
  </si>
  <si>
    <t>https://www.google.com/url?rct=j&amp;sa=t&amp;url=https://www.msn.com/en-gb/news/world/explosions-shake-oryol-region-important-defense-factory-hit-says-media/ar-AA1FbkZd&amp;ct=ga&amp;cd=CAIyGmEyZWM3MTRjMDNiY2Y1ZGI6Y29tOmVuOlVT&amp;usg=AOvVaw0modhKB5me0KLy_-PmsgOp</t>
  </si>
  <si>
    <t>2025-05-24T17:42:49Z</t>
  </si>
  <si>
    <t>The plant's *products* are also used in communication systems, control ... 
Escape and unwind with Early 2025 Deals. Ad. *New* energy crisis starts in 
Russia ...</t>
  </si>
  <si>
    <t>South Korea's &lt;b&gt;defense&lt;/b&gt; industry localizes production amid EU's shell capacity expansion</t>
  </si>
  <si>
    <t>https://www.google.com/url?rct=j&amp;sa=t&amp;url=https://biz.chosun.com/en/en-industry/2025/05/24/YFK6N6DZVNFSDOLQSKJ5HLNKKA/&amp;ct=ga&amp;cd=CAIyGmEyZWM3MTRjMDNiY2Y1ZGI6Y29tOmVuOlVT&amp;usg=AOvVaw2toX6AqdQEO0rLGZ3mFIXK</t>
  </si>
  <si>
    <t>2025-05-23T21:13:33Z</t>
  </si>
  <si>
    <t>... *manufacturing* 155mm shells at a *new facility* in ... production in 
Europe in response to the EU's purchasing policy for European *defense 
products*.</t>
  </si>
  <si>
    <t>L3Harris Marks Major Milestone for &lt;b&gt;New&lt;/b&gt; Solid Rocket Motor '&lt;b&gt;Factories&lt;/b&gt; of the Future' in Virginia</t>
  </si>
  <si>
    <t>https://www.google.com/url?rct=j&amp;sa=t&amp;url=https://www.morningstar.com/news/business-wire/20250522054552/l3harris-marks-major-milestone-for-new-solid-rocket-motor-factories-of-the-future-in-virginia&amp;ct=ga&amp;cd=CAIyGmEyZWM3MTRjMDNiY2Y1ZGI6Y29tOmVuOlVT&amp;usg=AOvVaw2V-LmWfOpkg5Ha4NAkvAF_</t>
  </si>
  <si>
    <t>2025-05-22T15:01:02Z</t>
  </si>
  <si>
    <t>“Made possible through a *Defense* Production Act Title III cooperative 
agreement, this expansion will complement an existing 256,000 square feet 
of ...</t>
  </si>
  <si>
    <t>Nikon and America Makes Partner to Strengthen U.S. &lt;b&gt;Defense Manufacturing&lt;/b&gt;</t>
  </si>
  <si>
    <t>https://www.google.com/url?rct=j&amp;sa=t&amp;url=https://www.digitalengineering247.com/article/nikon-and-america-makes-partner-to-strengthen-u.s-defense-manufacturing/additive-manufacturing&amp;ct=ga&amp;cd=CAIyGmEyZWM3MTRjMDNiY2Y1ZGI6Y29tOmVuOlVT&amp;usg=AOvVaw2-bzKsU9zjiAov-KAK4OYM</t>
  </si>
  <si>
    <t>2025-05-22T14:20:44Z</t>
  </si>
  <si>
    <t>Prime *defense* contractors and original equipment manufacturers (OEMs) ... 
DE's editors contribute news and *new product* announcements to Digital ...</t>
  </si>
  <si>
    <t>https://www.google.com/url?rct=j&amp;sa=t&amp;url=https://www.stocktitan.net/news/LHX/l3harris-marks-major-milestone-for-new-solid-rocket-motor-factories-xobhmf5d514h.html&amp;ct=ga&amp;cd=CAIyGmEyZWM3MTRjMDNiY2Y1ZGI6Y29tOmVuOlVT&amp;usg=AOvVaw0SjlBlufA_J3tCZDRnxpl6</t>
  </si>
  <si>
    <t>2025-05-22T14:02:25Z</t>
  </si>
  <si>
    <t>*New* automated facilities will slash production time 90% with robotics and 
AI-driven *manufacturing*. Major boost for US *defense* capabilities.</t>
  </si>
  <si>
    <t>The Pandur 8×8 EVO armored personnel carrier and the CZ BREN 3 assault rifle</t>
  </si>
  <si>
    <t>https://www.google.com/url?rct=j&amp;sa=t&amp;url=https://militarnyi.com/en/special-projects/the-pandur-8-8-evo-armored-personnel-carrier-and-the-cz-bren-3-assault-rifle-new-products-from-the-czech-defense-industry-to-be-showcased-at-idet-2025/&amp;ct=ga&amp;cd=CAIyGmEyZWM3MTRjMDNiY2Y1ZGI6Y29tOmVuOlVT&amp;usg=AOvVaw2S6Zs8ZVtseW9dKOkS5S2v</t>
  </si>
  <si>
    <t>2025-05-20T18:07:24Z</t>
  </si>
  <si>
    <t>The Pandur 8×8 EVO armored personnel carrier and the CZ BREN 3 assault 
rifle — *new products* from the Czech *defense* industry to be showcased at 
IDET- ...</t>
  </si>
  <si>
    <t>Vatn Systems unveils &lt;b&gt;new&lt;/b&gt; AUV-torpedo &lt;b&gt;product&lt;/b&gt; line and &lt;b&gt;manufacturing facility&lt;/b&gt; - GPS World</t>
  </si>
  <si>
    <t>https://www.google.com/url?rct=j&amp;sa=t&amp;url=https://www.gpsworld.com/vatn-systems-unveils-new-auv-torpedo-product-line-and-manufacturing-facility/&amp;ct=ga&amp;cd=CAIyGmEyZWM3MTRjMDNiY2Y1ZGI6Y29tOmVuOlVT&amp;usg=AOvVaw14uR1ElMnOOz56hKCg3jPD</t>
  </si>
  <si>
    <t>2025-05-19T14:45:41Z</t>
  </si>
  <si>
    <t>Vatn Systems — a *defense* technology company specializing in autonomous 
underwater vehicles (AUVs) for the U.S. military, its allies and 
commercial ...</t>
  </si>
  <si>
    <t>Denmark provides Ukraine with &lt;b&gt;new&lt;/b&gt; military aid using special scheme</t>
  </si>
  <si>
    <t>https://www.google.com/url?rct=j&amp;sa=t&amp;url=https://newsukraine.rbc.ua/news/denmark-provides-ukraine-with-new-military-1747535239.html&amp;ct=ga&amp;cd=CAIyGmEyZWM3MTRjMDNiY2Y1ZGI6Y29tOmVuOlVT&amp;usg=AOvVaw0T5IsSrtLiXWOwJpOVhOoZ</t>
  </si>
  <si>
    <t>2025-05-18T02:55:05Z</t>
  </si>
  <si>
    <t>In 2025, Denmark plans to distribute around 830 million euros to buy 
Ukrainian-made *defense products* as part of the European Peace *Facility*.</t>
  </si>
  <si>
    <t>RTX deepens footprint in UAE with gallium project and counter-drone &lt;b&gt;facility&lt;/b&gt;</t>
  </si>
  <si>
    <t>https://www.google.com/url?rct=j&amp;sa=t&amp;url=https://breakingdefense.com/2025/05/rtx-deepens-footprint-in-uae-with-gallium-project-and-counter-drone-facility/&amp;ct=ga&amp;cd=CAIyGmEyZWM3MTRjMDNiY2Y1ZGI6Y29tOmVuOlVT&amp;usg=AOvVaw3F76Q9HRZHjujcjUTqQySi</t>
  </si>
  <si>
    <t>2025-05-17T01:07:41Z</t>
  </si>
  <si>
    <t>... *defense products* including advanced radars ... Advertisement. These 
expeditionary systems provide *new* layers of *defense* against evolving 
threats and ...</t>
  </si>
  <si>
    <t>RBC Bearings INC SEC 10-K Report - TradingView</t>
  </si>
  <si>
    <t>https://www.google.com/url?rct=j&amp;sa=t&amp;url=https://www.tradingview.com/news/tradingview:2418e16de1a62:0-rbc-bearings-inc-sec-10-k-report/&amp;ct=ga&amp;cd=CAIyGmEyZWM3MTRjMDNiY2Y1ZGI6Y29tOmVuOlVT&amp;usg=AOvVaw3-FUt5qx0xcsMrUvSFTDGc</t>
  </si>
  <si>
    <t>2025-05-16T20:58:28Z</t>
  </si>
  <si>
    <t>*New Product* Launches: The company continues to innovate by developing *new 
products* ... *new* commercial aircraft introductions and increased 
*defense* ...</t>
  </si>
  <si>
    <t>ADA &lt;b&gt;Defense&lt;/b&gt; Lawyer: A big win against abusive ADA lawsuits. Recovering Attorney's Fees ...</t>
  </si>
  <si>
    <t>https://www.google.com/url?rct=j&amp;sa=t&amp;url=https://hotellaw.jmbm.com/ada-defense-lawyer-a-big-win-against-abusive-ada-lawsuits-recovering-attorneys-fees-in-ada-and-unruh-act-cases.html&amp;ct=ga&amp;cd=CAIyHDEzYWM2MTZjN2IyNDZmMjI6Y29tOmVuOlVTOlI&amp;usg=AOvVaw1AaUpM2oD3EV6DUqaQrvDr</t>
  </si>
  <si>
    <t>2025-07-12T00:05:27Z</t>
  </si>
  <si>
    <t>He advises clients with respect to business formation, financing, mergers 
and *acquisitions*, *venture capital* financing, joint ventures and 
strategic ...</t>
  </si>
  <si>
    <t>Sales, &lt;b&gt;defense&lt;/b&gt; and tech leadership roles across the market - Washington Technology</t>
  </si>
  <si>
    <t>https://www.google.com/url?rct=j&amp;sa=t&amp;url=https://www.washingtontechnology.com/companies/2025/07/sales-defense-and-tech-leadership-roles-across-market/406663/%3Foref%3Dwt-homepage-river&amp;ct=ga&amp;cd=CAIyHDEzYWM2MTZjN2IyNDZmMjI6Y29tOmVuOlVTOlI&amp;usg=AOvVaw0B-E3-lv9Ley2c7VdyNgFp</t>
  </si>
  <si>
    <t>2025-07-11T17:24:02Z</t>
  </si>
  <si>
    <t>... *acquisition* of Alion Science and Technology. He ... investment 
committee at this Canada-based *private equity* and *venture capital* 
organization.</t>
  </si>
  <si>
    <t>The State Department's Restructuring: A Boon for &lt;b&gt;Defense&lt;/b&gt; Contractors and &lt;b&gt;Private&lt;/b&gt; Diplomacy Firms</t>
  </si>
  <si>
    <t>https://www.google.com/url?rct=j&amp;sa=t&amp;url=https://www.ainvest.com/news/state-department-restructuring-boon-defense-contractors-private-diplomacy-firms-2507/&amp;ct=ga&amp;cd=CAIyHDEzYWM2MTZjN2IyNDZmMjI6Y29tOmVuOlVTOlI&amp;usg=AOvVaw1vv-h9tqSNiOAZdq1lRPOy</t>
  </si>
  <si>
    <t>2025-07-11T01:24:05Z</t>
  </si>
  <si>
    <t>*Private Equity* Plays: Look for smaller firms like Leidos (LDOS) or SAIC 
(SAIC), which may be *acquisition* targets as larger players consolidate.</t>
  </si>
  <si>
    <t>Fuji Media Shares Dip After Company Floats Poison Pill &lt;b&gt;Defense&lt;/b&gt; - Bloomberg</t>
  </si>
  <si>
    <t>https://www.google.com/url?rct=j&amp;sa=t&amp;url=https://www.bloomberg.com/news/articles/2025-07-10/fuji-media-shares-dip-after-company-floats-poison-pill-defense&amp;ct=ga&amp;cd=CAIyHDEzYWM2MTZjN2IyNDZmMjI6Y29tOmVuOlVTOlI&amp;usg=AOvVaw2rzQUUHA2A-cW9PPIZ9R_e</t>
  </si>
  <si>
    <t>2025-07-10T03:26:55Z</t>
  </si>
  <si>
    <t>Fuji Media said it will consider issuing free stock *acquisition* rights if 
an investor buys up 20% or more of its voting shares. Photographer: 
Kiyoshi ...</t>
  </si>
  <si>
    <t>&lt;b&gt;Defense&lt;/b&gt; companies not 'exiting' market at such a fast rate - Federal News Network</t>
  </si>
  <si>
    <t>https://www.google.com/url?rct=j&amp;sa=t&amp;url=https://federalnewsnetwork.com/defense-industry/2025/07/defense-companies-not-exiting-market-at-such-a-fast-rate/%3Freadmore%3D1&amp;ct=ga&amp;cd=CAIyHDEzYWM2MTZjN2IyNDZmMjI6Y29tOmVuOlVTOlI&amp;usg=AOvVaw36FgJ3n62acSKE4MSnKqSk</t>
  </si>
  <si>
    <t>2025-07-09T20:39:45Z</t>
  </si>
  <si>
    <t>... *Acquisition* Regulations (FAR) to further reduce regulatory burdens. 
... *venture capital* or *private equity* sponsorship, and high rates of 
annual ...</t>
  </si>
  <si>
    <t>Holland &amp; Knight Advises Chesapeake Technology International in Sale to Parsons Corporation</t>
  </si>
  <si>
    <t>https://www.google.com/url?rct=j&amp;sa=t&amp;url=https://www.hklaw.com/en/news/pressreleases/2025/07/holland-and-knight-advises-chesapeake-technology-international-in-sale&amp;ct=ga&amp;cd=CAIyHDEzYWM2MTZjN2IyNDZmMjI6Y29tOmVuOlVTOlI&amp;usg=AOvVaw3F13Emrelj6G4SA9PAUjQW</t>
  </si>
  <si>
    <t>2025-07-09T17:28:33Z</t>
  </si>
  <si>
    <t>Corporate Services Mergers and *Acquisitions Private Equity* HK Deal Flow 
... National Security &amp; *Defense* Technology &amp; Telecommunications ...</t>
  </si>
  <si>
    <t>A&amp;O Shearman advises PAI Partners on the financing of its &lt;b&gt;acquisition&lt;/b&gt; in Alvest Group</t>
  </si>
  <si>
    <t>https://www.google.com/url?rct=j&amp;sa=t&amp;url=https://www.aoshearman.com/en/news/ao-shearman-advises-pai-partners-on-the-financing-of-its-acquisition-in-alvest-group&amp;ct=ga&amp;cd=CAIyHDEzYWM2MTZjN2IyNDZmMjI6Y29tOmVuOlVTOlI&amp;usg=AOvVaw2ubL50GWkiaO3tQkIPGnGd</t>
  </si>
  <si>
    <t>2025-07-09T11:47:56Z</t>
  </si>
  <si>
    <t>A&amp;O Shearman advised PAI Partners ("PAI"), a pre-eminent *private equity* 
firm, on the financing for its *acquisition* of a majority stake in 
Alvest ...</t>
  </si>
  <si>
    <t>Rising geopolitical tensions ignite European &lt;b&gt;defense&lt;/b&gt; M&amp;A - A&amp;O Shearman</t>
  </si>
  <si>
    <t>https://www.google.com/url?rct=j&amp;sa=t&amp;url=https://www.aoshearman.com/en/insights/global-ma-insights/rising-geopolitical-tensions-ignite-european-defense-ma&amp;ct=ga&amp;cd=CAIyHDEzYWM2MTZjN2IyNDZmMjI6Y29tOmVuOlVTOlI&amp;usg=AOvVaw2EWniF1SV0K92P-qlDLkpC</t>
  </si>
  <si>
    <t>2025-07-09T08:59:50Z</t>
  </si>
  <si>
    <t>... *venture capital* investment in aerospace and *defense* since 2020. LPs 
push *private equity* funds for exposure. In the past, the PE universe has 
been ...</t>
  </si>
  <si>
    <t>Copart, Inc. (NASDAQ:CPRT) Shares Acquired by &lt;b&gt;Private&lt;/b&gt; Trust Co. NA - &lt;b&gt;Defense&lt;/b&gt; World</t>
  </si>
  <si>
    <t>https://www.google.com/url?rct=j&amp;sa=t&amp;url=https://www.defenseworld.net/2025/07/08/copart-inc-nasdaqcprt-shares-acquired-by-private-trust-co-na.html&amp;ct=ga&amp;cd=CAIyHDEzYWM2MTZjN2IyNDZmMjI6Y29tOmVuOlVTOlI&amp;usg=AOvVaw0kbiLpBIKrxWDLM_xUbVrS</t>
  </si>
  <si>
    <t>2025-07-08T19:56:10Z</t>
  </si>
  <si>
    <t>NA's holdings in Copart were worth $234,000 as of its most recent SEC 
filing. Get Copart alerts: A number of other hedge *funds* have also 
recently ...</t>
  </si>
  <si>
    <t>Wedmont &lt;b&gt;Private Capital&lt;/b&gt; Sells 1822 Shares of Microsoft Corporation (NASDAQ:MSFT)</t>
  </si>
  <si>
    <t>https://www.google.com/url?rct=j&amp;sa=t&amp;url=https://www.defenseworld.net/2025/07/08/wedmont-private-capital-sells-1822-shares-of-microsoft-corporation-nasdaqmsft.html&amp;ct=ga&amp;cd=CAIyHDEzYWM2MTZjN2IyNDZmMjI6Y29tOmVuOlVTOlI&amp;usg=AOvVaw2HSDilJRSRpn4YXLIedNH1</t>
  </si>
  <si>
    <t>2025-07-08T12:11:31Z</t>
  </si>
  <si>
    <t>Read Wedmont *Private Capital* Sells 1822 Shares of Microsoft Corporation 
(NASDAQ:MSFT) at *Defense* World.</t>
  </si>
  <si>
    <t>Heritage-Crystal Clean: 'Go-shop' period expires in previously announced merger - TipRanks</t>
  </si>
  <si>
    <t>https://www.google.com/url?rct=j&amp;sa=t&amp;url=https://www.tipranks.com/news/the-fly/heritage-crystal-clean-go-shop-period-expires-in-previously-announced-merger%3Futm_source%3Dmarkets.businessinsider.com%26utm_medium%3Dreferral&amp;ct=ga&amp;cd=CAIyHDEzYWM2MTZjN2IyNDZmMjI6Y29tOmVuOlVTOlI&amp;usg=AOvVaw0Hbft7Ve2CLswuL58gVMcS</t>
  </si>
  <si>
    <t>2025-07-05T11:36:02Z</t>
  </si>
  <si>
    <t>Lehman &amp; Company, JFLCO , a leading *private equity* investment firm 
focused on the aerospace, *defense*, maritime and environmental sectors, 
has agreed ...</t>
  </si>
  <si>
    <t>Apple Inc. (NASDAQ:AAPL) Shares Acquired by Davis &lt;b&gt;Capital&lt;/b&gt; Management</t>
  </si>
  <si>
    <t>https://www.google.com/url?rct=j&amp;sa=t&amp;url=https://www.defenseworld.net/2025/07/05/apple-inc-nasdaqaapl-shares-acquired-by-davis-capital-management.html&amp;ct=ga&amp;cd=CAIyHDEzYWM2MTZjN2IyNDZmMjI6Y29tOmVuOlVTOlI&amp;usg=AOvVaw1oOPmmojcSRoWvQmp-s5WC</t>
  </si>
  <si>
    <t>2025-07-05T08:38:23Z</t>
  </si>
  <si>
    <t>Read Apple Inc. (NASDAQ:AAPL) Shares Acquired by Davis *Capital* Management 
at *Defense* World. ... Next Level *Private* LLC grew its position in Apple 
by 2.1 ...</t>
  </si>
  <si>
    <t>The macroeconomic backdrop to the &lt;b&gt;private capital&lt;/b&gt; market - June 2025 - Lexology</t>
  </si>
  <si>
    <t>https://www.google.com/url?rct=j&amp;sa=t&amp;url=https://www.lexology.com/library/detail.aspx%3Fg%3Daf12eda3-fc4c-4218-a8d7-e0bc38fc3b2c&amp;ct=ga&amp;cd=CAIyHDEzYWM2MTZjN2IyNDZmMjI6Y29tOmVuOlVTOlI&amp;usg=AOvVaw0uyZKyU4B4K-gsNl9AgWMA</t>
  </si>
  <si>
    <t>2025-07-04T09:09:37Z</t>
  </si>
  <si>
    <t>*Private capital* is repositioning itself due to liquidity constraints and 
weaker fundraising, shifting towards *defensive*, income-generating 
strategies.</t>
  </si>
  <si>
    <t>Oppenheimer &amp; Co. Inc. Makes New &lt;b&gt;Investment&lt;/b&gt; in ERShares &lt;b&gt;Private&lt;/b&gt;-Public Crossover ETF ...</t>
  </si>
  <si>
    <t>https://www.google.com/url?rct=j&amp;sa=t&amp;url=https://www.defenseworld.net/2025/07/04/oppenheimer-co-inc-makes-new-investment-in-ershares-private-public-crossover-etf-nasdaqxovr.html&amp;ct=ga&amp;cd=CAIyHDEzYWM2MTZjN2IyNDZmMjI6Y29tOmVuOlVTOlI&amp;usg=AOvVaw1dkiPqy-adDPjjYyNFYkZf</t>
  </si>
  <si>
    <t>2025-07-04T10:33:00Z</t>
  </si>
  <si>
    <t>Read Oppenheimer &amp; Co. Inc. Makes New *Investment* in ERShares *Private*-Public 
Crossover ETF (NASDAQ:XOVR) at *Defense* World.</t>
  </si>
  <si>
    <t>Eaton Vance Enhanced &lt;b&gt;Equity&lt;/b&gt; Income Fund II (NYSEARCA:EOS) Shares Sold by ... - &lt;b&gt;Defense&lt;/b&gt; World</t>
  </si>
  <si>
    <t>https://www.google.com/url?rct=j&amp;sa=t&amp;url=https://www.defenseworld.net/2025/07/04/eaton-vance-enhanced-equity-income-fund-ii-nysearcaeos-shares-sold-by-cambridge-investment-research-advisors-inc.html&amp;ct=ga&amp;cd=CAIyHDEzYWM2MTZjN2IyNDZmMjI6Y29tOmVuOlVTOlI&amp;usg=AOvVaw3kCATDwrQn6Oq9mEpwJ-Vh</t>
  </si>
  <si>
    <t>2025-07-04T07:23:29Z</t>
  </si>
  <si>
    <t>Chung Wu Investment Group LLC acquired a new stake in shares of ... *Private 
Equity* ETF (NYSEARCA:PSP) · Grab Holdings Limited (NASDAQ:GRAB) ...</t>
  </si>
  <si>
    <t>Janney Montgomery Scott LLC Acquires 3,140 Shares of Invesco Global Listed &lt;b&gt;Private&lt;/b&gt; ...</t>
  </si>
  <si>
    <t>https://www.google.com/url?rct=j&amp;sa=t&amp;url=https://www.defenseworld.net/2025/07/04/janney-montgomery-scott-llc-acquires-3140-shares-of-invesco-global-listed-private-equity-etf-nysearcapsp.html&amp;ct=ga&amp;cd=CAIyHDEzYWM2MTZjN2IyNDZmMjI6Y29tOmVuOlVTOlI&amp;usg=AOvVaw2b1FQXm9wtpD9zay7Dvwlv</t>
  </si>
  <si>
    <t>2025-07-04T07:26:12Z</t>
  </si>
  <si>
    <t>Read Janney Montgomery Scott LLC Acquires 3140 Shares of Invesco Global 
Listed *Private Equity* ETF (NYSEARCA:PSP) at *Defense* World.</t>
  </si>
  <si>
    <t>B&amp;A acquires Hexagon Federal's &lt;b&gt;defense&lt;/b&gt;, intelligence portfolio - Washington Technology</t>
  </si>
  <si>
    <t>https://www.google.com/url?rct=j&amp;sa=t&amp;url=http://www.washingtontechnology.com/companies/2025/07/b-acquires-hexagon-federals-defense-intelligence-portfolio/406518/%3Foref%3Dwt-homepage-river&amp;ct=ga&amp;cd=CAIyHDEzYWM2MTZjN2IyNDZmMjI6Y29tOmVuOlVTOlI&amp;usg=AOvVaw1rqacCiqs-bxrnMm6JDJhQ</t>
  </si>
  <si>
    <t>2025-07-03T17:50:21Z</t>
  </si>
  <si>
    <t>B&amp;A was formerly known as Bart &amp; Associates and DFW *Capital* Partners 
acquired the contractor in August. Battle *Investment* Group, another 
*private* ...</t>
  </si>
  <si>
    <t>&lt;b&gt;Private equity&lt;/b&gt; firm Capitol Meridian started in 2021 to bet on &lt;b&gt;defense&lt;/b&gt;. Suddenly it's the ...</t>
  </si>
  <si>
    <t>https://www.google.com/url?rct=j&amp;sa=t&amp;url=https://finance.yahoo.com/news/private-equity-firm-capitol-meridian-100000767.html&amp;ct=ga&amp;cd=CAIyHDEzYWM2MTZjN2IyNDZmMjI6Y29tOmVuOlVTOlI&amp;usg=AOvVaw0TJCtxWDpNRGf03dsugPCO</t>
  </si>
  <si>
    <t>2025-07-03T12:17:32Z</t>
  </si>
  <si>
    <t>Founded by two veterans of the Carlyle Group, Adam Palmer and Brooke 
Coburn, *Capital* Meridian is one of a newish breed of sector specific 
*funds*.</t>
  </si>
  <si>
    <t>Odyssey sells Applied Technical Services for $1.3bn - Alternatives Watch</t>
  </si>
  <si>
    <t>https://www.google.com/url?rct=j&amp;sa=t&amp;url=https://www.alternativeswatch.com/2025/07/03/odyssey-sells-applied-technical-services-for-1-3bn/&amp;ct=ga&amp;cd=CAIyHDEzYWM2MTZjN2IyNDZmMjI6Y29tOmVuOlVTOlI&amp;usg=AOvVaw0UCcksxZe2EfL4Bs3rVhpx</t>
  </si>
  <si>
    <t>2025-07-03T10:47:41Z</t>
  </si>
  <si>
    <t>in Open Access, *Private Equity*, *Private Equity* Manager News. Share 
TweetShareSendSend · Odyssey Investment Partners has agreed to sell 
Applied ...</t>
  </si>
  <si>
    <t>Capitol Meridian Partners Raises $1.2 Billion for &lt;b&gt;Defense Investments&lt;/b&gt; - AInvest</t>
  </si>
  <si>
    <t>https://www.google.com/url?rct=j&amp;sa=t&amp;url=https://www.ainvest.com/news/capitol-meridian-partners-raises-1-2-billion-defense-investments-2507/&amp;ct=ga&amp;cd=CAIyHDEzYWM2MTZjN2IyNDZmMjI6Y29tOmVuOlVTOlI&amp;usg=AOvVaw0NVFTjeGQ21tbJfiZq53Lx</t>
  </si>
  <si>
    <t>2025-07-03T10:16:19Z</t>
  </si>
  <si>
    <t>... *private equity* firm, Capitol Meridian Partners, amidst the challenges 
... Palmer's first PE deal at Carlyle was the *acquisition* of United 
*Defense* ...</t>
  </si>
  <si>
    <t>Levi Strauss shares jump after &lt;b&gt;raising&lt;/b&gt; forecasts on strong global denim demand | Reuters</t>
  </si>
  <si>
    <t>https://www.google.com/url?rct=j&amp;sa=t&amp;url=https://www.reuters.com/business/levi-strauss-shares-jump-after-raising-forecasts-strong-global-denim-demand-2025-07-11/&amp;ct=ga&amp;cd=CAIyHDMxNmE1OTNkZTEyZjQ2YTM6Y29tOmVuOlVTOlI&amp;usg=AOvVaw15CU2u2i3v8oDvTWyIygXv</t>
  </si>
  <si>
    <t>2025-07-12T01:38:42Z</t>
  </si>
  <si>
    <t>Air India crash report shows pilot confusion over engine switch movement · 
Aerospace &amp; *Defense*category · July 11, 2025 · 4:49 PM PDT · 10 mins ago. 
A ...</t>
  </si>
  <si>
    <t>Musk's xAI seeks up to $200 billion valuation in next funding round, FT reports | Reuters</t>
  </si>
  <si>
    <t>https://www.google.com/url?rct=j&amp;sa=t&amp;url=https://www.reuters.com/business/musks-xai-seeks-up-200-billion-valuation-next-fundraising-ft-reports-2025-07-11/&amp;ct=ga&amp;cd=CAIyHDMxNmE1OTNkZTEyZjQ2YTM6Y29tOmVuOlVTOlI&amp;usg=AOvVaw0q7lWA2CQ4-orjWme4SivP</t>
  </si>
  <si>
    <t>2025-07-11T23:19:22Z</t>
  </si>
  <si>
    <t>Elon Musk's xAI is preparing to *raise* more *money* from investors in a 
... Aerospace &amp; *Defense* · Autos &amp; Transportation · Davos · Energy · 
Environment ...</t>
  </si>
  <si>
    <t>US IPO Week Ahead: 2 miners tap the US IPO market - Renaissance Capital</t>
  </si>
  <si>
    <t>https://www.google.com/url?rct=j&amp;sa=t&amp;url=https://www.renaissancecapital.com/IPO-Center/News/112094/US-IPO-Week-Ahead-2-miners-tap-the-US-IPO-market&amp;ct=ga&amp;cd=CAIyHDMxNmE1OTNkZTEyZjQ2YTM6Y29tOmVuOlVTOlI&amp;usg=AOvVaw1VetzN3fAxpWFxKvsm3PEK</t>
  </si>
  <si>
    <t>2025-07-11T22:26:18Z</t>
  </si>
  <si>
    <t>Two sizable mining companies are slated to go public in the US in the week 
ahead. Latin American miner Aura Minerals (AUGO) plans to *raise* $210 ...</t>
  </si>
  <si>
    <t>Knox &lt;b&gt;Raises&lt;/b&gt; $6.5 Million in Seed Round | The SaaS News</t>
  </si>
  <si>
    <t>https://www.google.com/url?rct=j&amp;sa=t&amp;url=https://www.thesaasnews.com/news/knox-raises-6-5-million-in-seed-round&amp;ct=ga&amp;cd=CAIyHDMxNmE1OTNkZTEyZjQ2YTM6Y29tOmVuOlVTOlI&amp;usg=AOvVaw2qwDdGyE1nPl-6YqqtWYZU</t>
  </si>
  <si>
    <t>2025-07-11T21:35:06Z</t>
  </si>
  <si>
    <t>Felicis is a *venture capital* firm founded in 2006, based in Menlo Park 
and San Francisco. ... *Defense* by enhancing its secure infrastructure ...</t>
  </si>
  <si>
    <t>Kansas &lt;b&gt;defense&lt;/b&gt; attorney says state's child protection system failed murdered 5-year-old girl</t>
  </si>
  <si>
    <t>https://www.google.com/url?rct=j&amp;sa=t&amp;url=https://kansasreflector.com/2025/07/11/kansas-defense-attorney-says-states-child-protection-system-failed-murdered-5-year-old-girl/&amp;ct=ga&amp;cd=CAIyHDMxNmE1OTNkZTEyZjQ2YTM6Y29tOmVuOlVTOlI&amp;usg=AOvVaw2jEgBRPI5o9jt48Fdui0aG</t>
  </si>
  <si>
    <t>2025-07-11T21:24:16Z</t>
  </si>
  <si>
    <t>*Defense* counsel Peter Conley, a state deputy *capital defender*, said in 
... Despite four cases *raising* questions about Felix's well-being ...</t>
  </si>
  <si>
    <t>Vertical Aerospace Extends Cash Runway With $60M &lt;b&gt;Equity Raise&lt;/b&gt; | Aviation Week Network</t>
  </si>
  <si>
    <t>https://www.google.com/url?rct=j&amp;sa=t&amp;url=https://aviationweek.com/aerospace/advanced-air-mobility/vertical-aerospace-extends-cash-runway-60m-equity-raise&amp;ct=ga&amp;cd=CAIyHDMxNmE1OTNkZTEyZjQ2YTM6Y29tOmVuOlVTOlI&amp;usg=AOvVaw0DL2hlUCPftklTBXys7MnP</t>
  </si>
  <si>
    <t>2025-07-11T21:14:10Z</t>
  </si>
  <si>
    <t>Already a member of AWIN or subscribe to Aerospace Daily &amp; *Defense* Report 
through your company? Login with your existing email and password. Not a ...</t>
  </si>
  <si>
    <t>RealSense spins out from Intel, secures $50 million to drive AI vision in robotics | Reuters</t>
  </si>
  <si>
    <t>https://www.google.com/url?rct=j&amp;sa=t&amp;url=https://www.reuters.com/business/realsense-spins-out-intel-secures-50-million-drive-ai-vision-robotics-2025-07-11/&amp;ct=ga&amp;cd=CAIyHDMxNmE1OTNkZTEyZjQ2YTM6Y29tOmVuOlVTOlI&amp;usg=AOvVaw3MxeOaMAn4A7kDjYiAoOjt</t>
  </si>
  <si>
    <t>2025-07-11T20:50:43Z</t>
  </si>
  <si>
    <t>... *raised funds*. Advertisement · Scroll to continue. "It's true there 
are a lot of companies that like to be vertically integrated, and several 
of ...</t>
  </si>
  <si>
    <t>What South Korea Can Learn from the US &lt;b&gt;Defense&lt;/b&gt;-Tech Sector - The National Interest</t>
  </si>
  <si>
    <t>https://www.google.com/url?rct=j&amp;sa=t&amp;url=https://nationalinterest.org/blog/korea-watch/what-south-korea-can-learn-from-the-us-defense-tech-sector&amp;ct=ga&amp;cd=CAIyHDMxNmE1OTNkZTEyZjQ2YTM6Y29tOmVuOlVTOlI&amp;usg=AOvVaw1Iq5zL1Gb6JZ9CxkP6sAsm</t>
  </si>
  <si>
    <t>2025-07-11T20:23:46Z</t>
  </si>
  <si>
    <t>A rising player in *defense* manufacturing. But one thing it is not ... 
funding from both *venture capital* and the Pentagon? That's why China ...</t>
  </si>
  <si>
    <t>A Dash for Cash: What to Do About Crowdfunding? | Cato at Liberty Blog</t>
  </si>
  <si>
    <t>https://www.google.com/url?rct=j&amp;sa=t&amp;url=https://www.cato.org/blog/dash-cash-what-do-about-crowdfunding&amp;ct=ga&amp;cd=CAIyHDMxNmE1OTNkZTEyZjQ2YTM6Y29tOmVuOlVTOlI&amp;usg=AOvVaw26jqXJERSeYta8YPj_Gj11</t>
  </si>
  <si>
    <t>2025-07-11T19:17:33Z</t>
  </si>
  <si>
    <t>*Defense* and Foreign Policy ... Crowdfunding is meant to be a lower-cost 
alternative to traditional *capital raising* and gives average Americans a 
chance ...</t>
  </si>
  <si>
    <t>VCs To Double Down On Indian AI &amp; &lt;b&gt;Defence&lt;/b&gt; Tech Startup Investments In H2 2025 - Inc42</t>
  </si>
  <si>
    <t>https://www.google.com/url?rct=j&amp;sa=t&amp;url=https://inc42.com/buzz/vcs-to-double-down-on-indian-ai-defence-tech-startup-investments-in-h2-2025/&amp;ct=ga&amp;cd=CAIyHDMxNmE1OTNkZTEyZjQ2YTM6Y29tOmVuOlVTOlI&amp;usg=AOvVaw1r7bKYw5BbsN7mbvsyjb82</t>
  </si>
  <si>
    <t>2025-07-11T19:03:24Z</t>
  </si>
  <si>
    <t>The segment attracted $311 Mn in funding — nearly one-third of the 
cumulative *capital raised* by Indian hardware startups to date. This surge 
was led ...</t>
  </si>
  <si>
    <t>Israel's Military Lawyers &lt;b&gt;Raise&lt;/b&gt; Concerns About New Plan to Move Hundreds of Thousands ...</t>
  </si>
  <si>
    <t>https://www.google.com/url?rct=j&amp;sa=t&amp;url=https://www.wsj.com/world/middle-east/israel-gaza-rafah-relocation-lawyer-concerns-01d81821&amp;ct=ga&amp;cd=CAIyHDMxNmE1OTNkZTEyZjQ2YTM6Y29tOmVuOlVTOlI&amp;usg=AOvVaw2tJZPexCJn31qNkSWsT2Jj</t>
  </si>
  <si>
    <t>2025-07-11T18:42:55Z</t>
  </si>
  <si>
    <t>Under the proposal unveiled by *Defense* Minister Israel Katz, the Israeli 
military would move Palestinians to a designated area around the 
southern ...</t>
  </si>
  <si>
    <t>New House members saw PAC donations jump after getting committee assignments</t>
  </si>
  <si>
    <t>https://www.google.com/url?rct=j&amp;sa=t&amp;url=https://penncapital-star.com/government-politics/new-house-members-including-one-from-pa-saw-pac-donations-jump-after-getting-committee-assignments/&amp;ct=ga&amp;cd=CAIyHDMxNmE1OTNkZTEyZjQ2YTM6Y29tOmVuOlVTOlI&amp;usg=AOvVaw1Hua19Tki14_ScIxRm5IIY</t>
  </si>
  <si>
    <t>2025-07-11T18:28:41Z</t>
  </si>
  <si>
    <t>Rep. Jeff Crank (R-Colo.), now a member of the Armed Services Committee, 
*raised* 6 percent of his PAC *money* from the *defense* sector during his 
first ...</t>
  </si>
  <si>
    <t>Varda &lt;b&gt;Raises&lt;/b&gt; $187M Series C Round to Scale Medicine Development in Space</t>
  </si>
  <si>
    <t>https://www.google.com/url?rct=j&amp;sa=t&amp;url=https://www.satellitetoday.com/finance/2025/07/11/varda-raises-187m-series-c-round-to-scale-medicine-development-in-space/&amp;ct=ga&amp;cd=CAIyHDMxNmE1OTNkZTEyZjQ2YTM6Y29tOmVuOlVTOlI&amp;usg=AOvVaw0_9hOKcJP3zSZCrStYBoQ2</t>
  </si>
  <si>
    <t>2025-07-11T18:25:32Z</t>
  </si>
  <si>
    <t>... *Defense* and Intel Capabilities · Cybersecurity ... Natural *Capital* 
and Shrug *Capital* led the funding round, with participation from Founders 
Fund ...</t>
  </si>
  <si>
    <t>Learn how to &lt;b&gt;raise&lt;/b&gt; a seed round from top VCs at Disrupt 2025 | TechCrunch</t>
  </si>
  <si>
    <t>https://www.google.com/url?rct=j&amp;sa=t&amp;url=https://techcrunch.com/2025/07/10/how-to-actually-raise-a-seed-round-actionable-advice-from-top-investors-at-techcrunch-disrupt-2025-on-july-15/&amp;ct=ga&amp;cd=CAIyHDMxNmE1OTNkZTEyZjQ2YTM6Y29tOmVuOlVTOlI&amp;usg=AOvVaw0pPV_5B43_QnGacFTLyOmF</t>
  </si>
  <si>
    <t>2025-07-11T17:46:09Z</t>
  </si>
  <si>
    <t>... *Venture Capital*) — to unpack the realities of early-stage 
fundraising. ... *defense* solutions that have been tested in combat in 
Ukraine, with the ...</t>
  </si>
  <si>
    <t>The Global AI &lt;b&gt;Defense&lt;/b&gt; Challenge 2025 Launched to Fight Bad AI with Good AI</t>
  </si>
  <si>
    <t>https://www.google.com/url?rct=j&amp;sa=t&amp;url=https://finance.yahoo.com/news/global-ai-defense-challenge-2025-022900189.html&amp;ct=ga&amp;cd=CAIyHDMxNmE1OTNkZTEyZjQ2YTM6Y29tOmVuOlVTOlI&amp;usg=AOvVaw2MmBXCtjeXUMFdIYXUQlIk</t>
  </si>
  <si>
    <t>2025-07-11T17:36:37Z</t>
  </si>
  <si>
    <t xml:space="preserve"> Therefore, enhancing AI *defense* capabilities and *raising* public ... 
Kratos *Defense* &amp; Security Solutions, Inc. *Equity*NMS. U.S. markets 
close ...</t>
  </si>
  <si>
    <t>https://www.google.com/url?rct=j&amp;sa=t&amp;url=https://www.washingtontechnology.com/companies/2025/07/sales-defense-and-tech-leadership-roles-across-market/406663/%3Foref%3Dwt-homepage-river&amp;ct=ga&amp;cd=CAIyHDMxNmE1OTNkZTEyZjQ2YTM6Y29tOmVuOlVTOlI&amp;usg=AOvVaw0B-E3-lv9Ley2c7VdyNgFp</t>
  </si>
  <si>
    <t>... *defense* and security-focused investment committee at this 
Canada-based private equity and *venture capital* organization. Hoyem most 
recently led ...</t>
  </si>
  <si>
    <t>This 19-year-old's space company just &lt;b&gt;raised&lt;/b&gt; millions to keep satellites connected 24/7</t>
  </si>
  <si>
    <t>https://www.google.com/url?rct=j&amp;sa=t&amp;url=https://techcrunch.com/2025/07/11/yc-backed-apolink-by-19-year-old-bags-4-3m-to-build-24-7-connectivity-for-leo-satellites/&amp;ct=ga&amp;cd=CAIyHDMxNmE1OTNkZTEyZjQ2YTM6Y29tOmVuOlVTOlI&amp;usg=AOvVaw0ZdAR2_74ncqE5nEu05GQc</t>
  </si>
  <si>
    <t>2025-07-11T17:13:15Z</t>
  </si>
  <si>
    <t>The new funding was led by firms Natural *Capital* and Shrug *Capital* ... 
*Defense*. Historically, hypersonic flight testing had a long lead time 
and ...</t>
  </si>
  <si>
    <t>Milestone Pharmaceuticals proposes &lt;b&gt;capital raise&lt;/b&gt; via securities offering - Seeking Alpha</t>
  </si>
  <si>
    <t>https://www.google.com/url?rct=j&amp;sa=t&amp;url=https://seekingalpha.com/news/4466714-milestone-pharmaceuticals-proposes-capital-raise-via-securities-offering&amp;ct=ga&amp;cd=CAIyHDMxNmE1OTNkZTEyZjQ2YTM6Y29tOmVuOlVTOlI&amp;usg=AOvVaw1RFcKoDCTSZaYbaMMNgjow</t>
  </si>
  <si>
    <t>2025-07-11T16:35:34Z</t>
  </si>
  <si>
    <t>Milestone Pharmaceuticals (MIST) has launched a public offering to *raise 
capital*, that includes common shares, alongside both Series A and 
Series ...</t>
  </si>
  <si>
    <t>SKorea, Japan, US urge NKorea to stop threats | The Manila Times</t>
  </si>
  <si>
    <t>https://www.google.com/url?rct=j&amp;sa=t&amp;url=https://www.manilatimes.net/2025/07/12/world/asia-oceania/skorea-japan-us-urge-nkorea-to-stop-threats/2147872&amp;ct=ga&amp;cd=CAIyHDMxNmE1OTNkZTEyZjQ2YTM6Y29tOmVuOlVTOlI&amp;usg=AOvVaw12465u6308lUfAKi50emPL</t>
  </si>
  <si>
    <t>2025-07-11T16:17:27Z</t>
  </si>
  <si>
    <t>... *defense* ministry in the *capital* Seoul on July 11, 2025. AP PHOTO. 
World ... *raised* concerns among their neighbors. During their regular ...</t>
  </si>
  <si>
    <t>Orezone seeks $50M &lt;b&gt;capital raise&lt;/b&gt; in Australia IPO - MINING.COM</t>
  </si>
  <si>
    <t>https://www.google.com/url?rct=j&amp;sa=t&amp;url=https://www.mining.com/orezone-seeks-a75m-capital-raise-in-australia-ipo/&amp;ct=ga&amp;cd=CAIyHDMxNmE1OTNkZTEyZjQ2YTM6Y29tOmVuOlVTOlI&amp;usg=AOvVaw2MhXxDB17l3I3wqyh3mi-l</t>
  </si>
  <si>
    <t>2025-07-11T15:59:24Z</t>
  </si>
  <si>
    <t>Deal will make the US Department of *Defense* the largest shareholder in 
MP, the sole domestic producer of rare earth elements. July 09, 2025 | 
07:43 am ...</t>
  </si>
  <si>
    <t>State incentives for Anduril weapons &lt;b&gt;factory&lt;/b&gt; near Columbus swell to nearly $850 million</t>
  </si>
  <si>
    <t>https://www.google.com/url?rct=j&amp;sa=t&amp;url=https://www.cleveland.com/news/2025/07/state-incentives-for-anduril-weapons-factory-near-columbus-swell-to-nearly-850-million.html&amp;ct=ga&amp;cd=CAIyGmEyZWM3MTRjMDNiY2Y1ZGI6Y29tOmVuOlVT&amp;usg=AOvVaw1NcgQqypw59x6M6841sew4</t>
  </si>
  <si>
    <t>2025-07-09T18:25:59Z</t>
  </si>
  <si>
    <t>Anduril Industries, a high-tech *defense* company ... The *new* Ohio 
*facility* will allow Anduril to manufacture *products* in one centralized 
*facility* ...</t>
  </si>
  <si>
    <t>Could UK Lose Its Fighter Jet &lt;b&gt;Manufacturing&lt;/b&gt; Capability After Eurofighter Typhoon Production Ends</t>
  </si>
  <si>
    <t>https://www.google.com/url?rct=j&amp;sa=t&amp;url=https://en.defence-ua.com/industries/could_uk_lose_its_fighter_jet_manufacturing_capability_after_eurofighter_typhoon_production_ends-15080.html&amp;ct=ga&amp;cd=CAIyGmEyZWM3MTRjMDNiY2Y1ZGI6Y29tOmVuOlVT&amp;usg=AOvVaw1hl4kPhPyMP7jC9xSume4L</t>
  </si>
  <si>
    <t>2025-07-09T00:27:33Z</t>
  </si>
  <si>
    <t>... production has nearly halted, risking loss of key *defense* industry 
sector. While global demand for *defense products* is booming, production 
of the ...</t>
  </si>
  <si>
    <t>Turkish, Norwegian &lt;b&gt;defense&lt;/b&gt; firms to build ammunition filling &lt;b&gt;facility&lt;/b&gt; for Denmark</t>
  </si>
  <si>
    <t>https://www.google.com/url?rct=j&amp;sa=t&amp;url=https://www.turkiyetoday.com/nation/turkish-norwegian-defense-firms-to-build-ammunition-filling-facility-for-denmark-3203866&amp;ct=ga&amp;cd=CAIyGmEyZWM3MTRjMDNiY2Y1ZGI6Y29tOmVuOlVT&amp;usg=AOvVaw2CN7XjYG7ID5H2Xp3g9asX</t>
  </si>
  <si>
    <t>2025-07-05T11:26:05Z</t>
  </si>
  <si>
    <t>Repkon expands global presence with *new facility*. Repkon is among the few 
global firms capable of building integrated ammunition *manufacturing*, ...</t>
  </si>
  <si>
    <t>How a German &lt;b&gt;Manufacturer&lt;/b&gt; Is Forging Stronger Ties With the U.S. - The New York Times</t>
  </si>
  <si>
    <t>https://www.google.com/url?rct=j&amp;sa=t&amp;url=https://www.nytimes.com/2025/07/04/business/rheinmetall-germany-fighter-jets.html&amp;ct=ga&amp;cd=CAIyGmEyZWM3MTRjMDNiY2Y1ZGI6Y29tOmVuOlVT&amp;usg=AOvVaw12DcofiNV4jezDiw8PatDQ</t>
  </si>
  <si>
    <t>2025-07-04T07:31:17Z</t>
  </si>
  <si>
    <t>It is also a reflection of the greater role the *defense* industry is 
already playing in Europe. “This is just the start for us,” said Armin 
Papperger, ...</t>
  </si>
  <si>
    <t>US &lt;b&gt;factory&lt;/b&gt; orders rebound in May on strong aircraft demand | Reuters</t>
  </si>
  <si>
    <t>https://www.google.com/url?rct=j&amp;sa=t&amp;url=https://www.reuters.com/business/aerospace-defense/us-factory-orders-rebound-may-strong-aircraft-demand-2025-07-03/&amp;ct=ga&amp;cd=CAIyGmEyZWM3MTRjMDNiY2Y1ZGI6Y29tOmVuOlVT&amp;usg=AOvVaw0Zm7HjPGw0M9icbRyGB9lp</t>
  </si>
  <si>
    <t>2025-07-03T14:55:54Z</t>
  </si>
  <si>
    <t>*New* orders for U.S.-manufactured *goods* surged in May on strong demand 
... Non-*defense* capital *goods* orders jumped 49.5%. They were 
previously ...</t>
  </si>
  <si>
    <t>Cipla in talks to add &lt;b&gt;new&lt;/b&gt; customers for its China &lt;b&gt;factory&lt;/b&gt;, executive says | Reuters</t>
  </si>
  <si>
    <t>https://www.google.com/url?rct=j&amp;sa=t&amp;url=https://www.reuters.com/business/healthcare-pharmaceuticals/cipla-talks-add-new-customers-its-china-factory-executive-says-2025-07-02/&amp;ct=ga&amp;cd=CAIyGmEyZWM3MTRjMDNiY2Y1ZGI6Y29tOmVuOlVT&amp;usg=AOvVaw2qq0fJTNKhhvismmgI4gGf</t>
  </si>
  <si>
    <t>2025-07-02T22:30:16Z</t>
  </si>
  <si>
    <t>Indian drugmaker Cipla is looking to add at least two *new* overseas 
markets for its *products* manufactured in China, as the firm seeks to 
work ...</t>
  </si>
  <si>
    <t>Investing in the &lt;b&gt;manufacturing&lt;/b&gt; workforce to accelerate productivity - McKinsey</t>
  </si>
  <si>
    <t>https://www.google.com/url?rct=j&amp;sa=t&amp;url=https://www.mckinsey.com/industries/aerospace-and-defense/our-insights/investing-in-the-manufacturing-workforce-to-accelerate-productivity&amp;ct=ga&amp;cd=CAIyGmEyZWM3MTRjMDNiY2Y1ZGI6Y29tOmVuOlVT&amp;usg=AOvVaw2UjgTY-LSQ2UKri8ziaczg</t>
  </si>
  <si>
    <t>2025-07-02T10:10:33Z</t>
  </si>
  <si>
    <t>For example, an aerospace and *defense manufacturer* wanted to relaunch a 
*product* line of legacy weapon systems, but because its current talent 
base ...</t>
  </si>
  <si>
    <t>Soon, Indonesia Can Independently Produce Munitions - Kompas.id</t>
  </si>
  <si>
    <t>https://www.google.com/url?rct=j&amp;sa=t&amp;url=https://www.kompas.id/artikel/en-sebentar-lagi-indonesia-bisa-mandiri-produksi-isian-munisi/amp&amp;ct=ga&amp;cd=CAIyGmEyZWM3MTRjMDNiY2Y1ZGI6Y29tOmVuOlVT&amp;usg=AOvVaw2yHKkuFgkp1o4cyBAiIevb</t>
  </si>
  <si>
    <t>2025-07-02T05:32:51Z</t>
  </si>
  <si>
    <t>... *new facility* will be key to ending dependence on imported *supplies*. 
... Nevertheless, Frega stated that the production of *defense* equipment 
is a long- ...</t>
  </si>
  <si>
    <t>Paras &lt;b&gt;Defence&lt;/b&gt; Secures Rs 22 Crore Contract from French Company Cerbair</t>
  </si>
  <si>
    <t>https://www.google.com/url?rct=j&amp;sa=t&amp;url=https://themachinemaker.com/news/paras-defence-secures-rs-22-crore-contract-from-french-company-cerbair/&amp;ct=ga&amp;cd=CAIyGmEyZWM3MTRjMDNiY2Y1ZGI6Y29tOmVuOlVT&amp;usg=AOvVaw3v6mC3GM5lUeyG4GD818fb</t>
  </si>
  <si>
    <t>2025-07-02T02:44:08Z</t>
  </si>
  <si>
    <t>Established over 40 years ago, Paras *Defence* is a tier-2 *defence 
manufacturer* providing engineering *products* to both private companies 
and government ...</t>
  </si>
  <si>
    <t>India-Based L&amp;T Technology Services Launches &lt;b&gt;New&lt;/b&gt; Engineering Design Center in North Texas</t>
  </si>
  <si>
    <t>https://www.google.com/url?rct=j&amp;sa=t&amp;url=https://dallasinnovates.com/india-based-lt-technology-services-launches-new-engineering-design-center-in-north-texas/&amp;ct=ga&amp;cd=CAIyGmEyZWM3MTRjMDNiY2Y1ZGI6Y29tOmVuOlVT&amp;usg=AOvVaw1RYozShMcFXSYU0Y3j-QU6</t>
  </si>
  <si>
    <t>2025-07-01T16:12:16Z</t>
  </si>
  <si>
    <t>The ITAR-compliant center can handle design, development, and testing for *defense 
products* and systems. The *new* design hub features advanced ...</t>
  </si>
  <si>
    <t>Moog celebrates major expansion to enhance space and &lt;b&gt;defense manufacturing&lt;/b&gt; - WKBW</t>
  </si>
  <si>
    <t>https://www.google.com/url?rct=j&amp;sa=t&amp;url=https://www.wkbw.com/news/local-news/southtowns/moog-celebrates-major-expansion-in-east-aurora-to-enhance-space-and-defense-manufacturing&amp;ct=ga&amp;cd=CAIyGmEyZWM3MTRjMDNiY2Y1ZGI6Y29tOmVuOlVT&amp;usg=AOvVaw1UpwK-qgRfFNil1MM09g_C</t>
  </si>
  <si>
    <t>2025-06-30T23:15:57Z</t>
  </si>
  <si>
    <t>The company's *new* electromechanical actuation *facility* will enhance its 
space and *defense manufacturing* ... *products* they expect and is another 
example ...</t>
  </si>
  <si>
    <t>Syensqo and Terma ink agreement for &lt;b&gt;defense&lt;/b&gt; composite component &lt;b&gt;manufacturing&lt;/b&gt;</t>
  </si>
  <si>
    <t>https://www.google.com/url?rct=j&amp;sa=t&amp;url=https://www.indianchemicalnews.com/general/syensqo-and-terma-ink-agreement-for-defense-composite-component-manufacturing-26633&amp;ct=ga&amp;cd=CAIyGmEyZWM3MTRjMDNiY2Y1ZGI6Y29tOmVuOlVT&amp;usg=AOvVaw0kqqsE1-ah2ozXOmyzBGAZ</t>
  </si>
  <si>
    <t>2025-06-30T09:13:15Z</t>
  </si>
  <si>
    <t>“This collaboration represents an exciting opportunity to combine Syensqo's 
research and development capabilities, extensive *product* portfolio and ...</t>
  </si>
  <si>
    <t>&lt;b&gt;New&lt;/b&gt; “Green Corridor” streamlines Lithuania's &lt;b&gt;defense&lt;/b&gt; projects - Trend News Agency</t>
  </si>
  <si>
    <t>https://www.google.com/url?rct=j&amp;sa=t&amp;url=https://en.trend.az/baltics/4063236.html&amp;ct=ga&amp;cd=CAIyGmEyZWM3MTRjMDNiY2Y1ZGI6Y29tOmVuOlVT&amp;usg=AOvVaw2UhaQ9l6J05cL9ILFrqu1K</t>
  </si>
  <si>
    <t>2025-06-27T08:13:13Z</t>
  </si>
  <si>
    <t>Under the proposed reforms, projects designated with the “*Defense* and 
Security *Products Manufacturing* Development” status—those committed to ...</t>
  </si>
  <si>
    <t>L&amp;T Technology Services Launches &lt;b&gt;New&lt;/b&gt; Engineering Design Center in Plano, Texas to ...</t>
  </si>
  <si>
    <t>https://www.google.com/url?rct=j&amp;sa=t&amp;url=https://www.socialnews.xyz/2025/06/26/lt-technology-services-launches-new-engineering-design-center-in-plano-texas-to-propel-advancements-in-ai-tech-digital-manufacturing/&amp;ct=ga&amp;cd=CAIyGmEyZWM3MTRjMDNiY2Y1ZGI6Y29tOmVuOlVT&amp;usg=AOvVaw0JuYescocmd8bPI5ov8Qix</t>
  </si>
  <si>
    <t>2025-06-27T03:18:20Z</t>
  </si>
  <si>
    <t>... *defense*-related *products* and systems. The *new* design hub will 
also ... *Factory* of the Future for Industry 4.0-based digital 
*manufacturing* ...</t>
  </si>
  <si>
    <t>Norway &lt;b&gt;Defense&lt;/b&gt; Industry Part of Trend To Boost European Capacity</t>
  </si>
  <si>
    <t>https://www.google.com/url?rct=j&amp;sa=t&amp;url=https://www.nationaldefensemagazine.org/articles/2025/6/27/norway-defense-industry-part-of-trend-to-boost-european-capacity&amp;ct=ga&amp;cd=CAIyGmEyZWM3MTRjMDNiY2Y1ZGI6Y29tOmVuOlVT&amp;usg=AOvVaw2UCtMz6ctzUX32GB5WWqJs</t>
  </si>
  <si>
    <t>2025-06-25T14:17:57Z</t>
  </si>
  <si>
    <t>In the early 2000s, it only exported about 10 percent of its *defense 
products*. ... It also opened a *new* 155mm production *factory* in Perry, 
Florida, in ...</t>
  </si>
  <si>
    <t>SBA leader Kelly Loeffler visits Indy contract &lt;b&gt;manufacturer&lt;/b&gt;, praises 'Big Beautiful Bill'</t>
  </si>
  <si>
    <t>https://www.google.com/url?rct=j&amp;sa=t&amp;url=https://www.indystar.com/picture-gallery/news/local/2025/06/24/sba-leader-kelly-loeffler-visits-indy-contract-manufacturer/84340433007/&amp;ct=ga&amp;cd=CAIyGmEyZWM3MTRjMDNiY2Y1ZGI6Y29tOmVuOlVT&amp;usg=AOvVaw1veZmHeZM0-62ZdhLBcUpA</t>
  </si>
  <si>
    <t>2025-06-24T20:44:27Z</t>
  </si>
  <si>
    <t>Olson Custom Designs is a contract *manufacturer* specializing in 
components for aerospace, medical, and *defense products* in Indianapolis. 
HG Biggs ...</t>
  </si>
  <si>
    <t>Europe Is Finally Ready to Spend More on &lt;b&gt;Defense&lt;/b&gt;. The Hard Part Is How.</t>
  </si>
  <si>
    <t>https://www.google.com/url?rct=j&amp;sa=t&amp;url=https://www.nytimes.com/2025/06/22/business/europe-nato-defense-spending.html&amp;ct=ga&amp;cd=CAIyGmEyZWM3MTRjMDNiY2Y1ZGI6Y29tOmVuOlVT&amp;usg=AOvVaw3D_N5vcnQvYhDoIdi2FTxC</t>
  </si>
  <si>
    <t>2025-06-22T04:06:22Z</t>
  </si>
  <si>
    <t>... *defense* technology company Mesko in Skarzysko-Kamienna, Poland. ... 
Environmental approvals needed before a *new* weapons *factory* may be 
built can take up ...</t>
  </si>
  <si>
    <t>Weapons and ammunition production capacity at &lt;b&gt;Factory&lt;/b&gt; Z114 - Vietnam.vn</t>
  </si>
  <si>
    <t>https://www.google.com/url?rct=j&amp;sa=t&amp;url=https://www.vietnam.vn/en/nang-luc-san-xuat-vu-khi-dan-duoc-o-nha-may-z114&amp;ct=ga&amp;cd=CAIyGmEyZWM3MTRjMDNiY2Y1ZGI6Y29tOmVuOlVT&amp;usg=AOvVaw1ax6dFd-IZXc4ppWoso-p_</t>
  </si>
  <si>
    <t>2025-06-21T23:49:47Z</t>
  </si>
  <si>
    <t>... *defense* industry in the *new* situation. Article and photos: NGUYEN 
DUC HIEU - BUI CONG TUNG. *Please visit the National *Defense* and Security 
section ...</t>
  </si>
  <si>
    <t>Ex-SpaceX Staffers Raise Cash for &lt;b&gt;Defense Manufacturing&lt;/b&gt; Startup - Bloomberg News</t>
  </si>
  <si>
    <t>https://www.google.com/url?rct=j&amp;sa=t&amp;url=https://www.bloomberg.com/news/articles/2025-06-18/ex-spacex-staffers-raise-cash-for-us-manufacturing-startup&amp;ct=ga&amp;cd=CAIyGmEyZWM3MTRjMDNiY2Y1ZGI6Y29tOmVuOlVT&amp;usg=AOvVaw0r4s7j5bbVlI4FnzPPMH_y</t>
  </si>
  <si>
    <t>2025-06-18T14:01:27Z</t>
  </si>
  <si>
    <t>Senra has raised $25 million in funding to expand its team and scale 
operations in a *new manufacturing facility*, with plans to increase 
production ...</t>
  </si>
  <si>
    <t>Re-shoring and Reviving the &lt;b&gt;Defense&lt;/b&gt; Industrial Base - Inside Unmanned Systems</t>
  </si>
  <si>
    <t>https://www.google.com/url?rct=j&amp;sa=t&amp;url=https://insideunmannedsystems.com/re-shoring-and-reviving-the-defense-industrial-base/&amp;ct=ga&amp;cd=CAIyGmEyZWM3MTRjMDNiY2Y1ZGI6Y29tOmVuOlVT&amp;usg=AOvVaw08HX73YPX4YxJIpJlBK6FJ</t>
  </si>
  <si>
    <t>2025-06-17T14:48:32Z</t>
  </si>
  <si>
    <t>As *defense manufacturing* confronts global instability a *new* generation 
of companies ... production sites capable of switching *product* lines 
in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</si>
</sst>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u/>
      <sz val="10"/>
      <color rgb="FF0000FF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0" fontId="2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alerts/feeds/09025431128020683164/2552550775473449917" TargetMode="External"/><Relationship Id="rId2" Type="http://schemas.openxmlformats.org/officeDocument/2006/relationships/hyperlink" Target="https://www.google.com/alerts/feeds/09025431128020683164/3776232429289321661" TargetMode="External"/><Relationship Id="rId1" Type="http://schemas.openxmlformats.org/officeDocument/2006/relationships/hyperlink" Target="https://www.google.com/alerts/feeds/09025431128020683164/4830815519505009728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url?rct=j&amp;sa=t&amp;url=https://www.govconwire.com/articles/synergy-ecp-acquires-netservices&amp;ct=ga&amp;cd=CAIyHDEzYWM2MTZjN2IyNDZmMjI6Y29tOmVuOlVTOlI&amp;usg=AOvVaw24fW6f3zRtG_STqxooeS1m" TargetMode="External"/><Relationship Id="rId18" Type="http://schemas.openxmlformats.org/officeDocument/2006/relationships/hyperlink" Target="https://www.google.com/url?rct=j&amp;sa=t&amp;url=https://www.aljazeera.com/news/liveblog/2026/1/3/live-loud-noises-heard-in-venezuelas-capital-amid-us-tensions&amp;ct=ga&amp;cd=CAIyHDMxNmE1OTNkZTEyZjQ2YTM6Y29tOmVuOlVTOlI&amp;usg=AOvVaw2zMJIK3ht-wcYhy5gghrtq" TargetMode="External"/><Relationship Id="rId26" Type="http://schemas.openxmlformats.org/officeDocument/2006/relationships/hyperlink" Target="https://www.google.com/url?rct=j&amp;sa=t&amp;url=https://www.designdevelopmenttoday.com/industries/aerospace/news/22955133/ursa-major-raises-100m-to-scale-hypersonics-solid-rocket-motors-and-space-mobility&amp;ct=ga&amp;cd=CAIyGmEyZWM3MTRjMDNiY2Y1ZGI6Y29tOmVuOlVT&amp;usg=AOvVaw0pWhZsre0RkVkMQl6IFweG" TargetMode="External"/><Relationship Id="rId3" Type="http://schemas.openxmlformats.org/officeDocument/2006/relationships/hyperlink" Target="https://www.google.com/url?rct=j&amp;sa=t&amp;url=https://www.businesswire.com/news/home/20251218293092/en/McNally-Capital-Makes-Strategic-Investment-in-Airforce-Turbine-Service-a-Leading-Global-Aviation-Services-Company&amp;ct=ga&amp;cd=CAIyHDEzYWM2MTZjN2IyNDZmMjI6Y29tOmVuOlVTOlI&amp;usg=AOvVaw3H6r3r77PFy9eXSAyksyng" TargetMode="External"/><Relationship Id="rId21" Type="http://schemas.openxmlformats.org/officeDocument/2006/relationships/hyperlink" Target="https://www.google.com/url?rct=j&amp;sa=t&amp;url=https://themachinemaker.com/news/bae-systems-introduces-onearc-a-new-commercial-defense-technology-platform/&amp;ct=ga&amp;cd=CAIyGmEyZWM3MTRjMDNiY2Y1ZGI6Y29tOmVuOlVT&amp;usg=AOvVaw0IN1cZMS-5wM8Rho8yXYWa" TargetMode="External"/><Relationship Id="rId34" Type="http://schemas.openxmlformats.org/officeDocument/2006/relationships/hyperlink" Target="https://www.google.com/url?rct=j&amp;sa=t&amp;url=https://stocktwits.com/news-articles/markets/equity/tata-s-defense-unit-opens-new-combat-vehicle-manufacturing-facility-in-morocco/chDhqEZR3Pw&amp;ct=ga&amp;cd=CAIyGmEyZWM3MTRjMDNiY2Y1ZGI6Y29tOmVuOlVT&amp;usg=AOvVaw0V0wwFdi-auiuaFagYXAhs" TargetMode="External"/><Relationship Id="rId7" Type="http://schemas.openxmlformats.org/officeDocument/2006/relationships/hyperlink" Target="https://www.google.com/url?rct=j&amp;sa=t&amp;url=https://pulse2.com/cvc-smiths-detection/&amp;ct=ga&amp;cd=CAIyHDEzYWM2MTZjN2IyNDZmMjI6Y29tOmVuOlVTOlI&amp;usg=AOvVaw3LDilTKQR6x2ZsgVCBxSFU" TargetMode="External"/><Relationship Id="rId12" Type="http://schemas.openxmlformats.org/officeDocument/2006/relationships/hyperlink" Target="https://www.google.com/url?rct=j&amp;sa=t&amp;url=https://www.bizjournals.com/washington/news/2025/12/04/red-river-invictus-defense-acquisition.html&amp;ct=ga&amp;cd=CAIyHDEzYWM2MTZjN2IyNDZmMjI6Y29tOmVuOlVTOlI&amp;usg=AOvVaw2veML6wHJ3xbDAyz0t197V" TargetMode="External"/><Relationship Id="rId17" Type="http://schemas.openxmlformats.org/officeDocument/2006/relationships/hyperlink" Target="https://www.google.com/url?rct=j&amp;sa=t&amp;url=https://seekingalpha.com/article/4856884-churchill-capital-x-reading-the-tea-leaves-on-infleqtion&amp;ct=ga&amp;cd=CAIyHDMxNmE1OTNkZTEyZjQ2YTM6Y29tOmVuOlVTOlI&amp;usg=AOvVaw0zrXwijqAw9ZqHRB7CzGYL" TargetMode="External"/><Relationship Id="rId25" Type="http://schemas.openxmlformats.org/officeDocument/2006/relationships/hyperlink" Target="https://www.google.com/url?rct=j&amp;sa=t&amp;url=https://www.bloomberg.com/news/articles/2025-11-19/uk-pinpoints-13-new-sites-to-end-reliance-on-foreign-explosives&amp;ct=ga&amp;cd=CAIyGmEyZWM3MTRjMDNiY2Y1ZGI6Y29tOmVuOlVT&amp;usg=AOvVaw26ddsdkN1E9dnI5_rmN25m" TargetMode="External"/><Relationship Id="rId33" Type="http://schemas.openxmlformats.org/officeDocument/2006/relationships/hyperlink" Target="https://www.google.com/url?rct=j&amp;sa=t&amp;url=https://scanx.trade/stock-market-news/orders-deals/sunita-tools-hosts-thai-defence-ministry-delegates-for-artillery-shell-discussions/21372475&amp;ct=ga&amp;cd=CAIyGmEyZWM3MTRjMDNiY2Y1ZGI6Y29tOmVuOlVT&amp;usg=AOvVaw26j-HPKHoJFfjo1b6OEABw" TargetMode="External"/><Relationship Id="rId2" Type="http://schemas.openxmlformats.org/officeDocument/2006/relationships/hyperlink" Target="https://www.google.com/url?rct=j&amp;sa=t&amp;url=https://www.eplaneai.com/zh/news/mcnally-capital-acquires-pt6a-mro-specialist-ats&amp;ct=ga&amp;cd=CAIyHDEzYWM2MTZjN2IyNDZmMjI6Y29tOmVuOlVTOlI&amp;usg=AOvVaw10rKGZ2kXSNYDNwXc_xHmp" TargetMode="External"/><Relationship Id="rId16" Type="http://schemas.openxmlformats.org/officeDocument/2006/relationships/hyperlink" Target="https://www.google.com/url?rct=j&amp;sa=t&amp;url=https://www.ctpost.com/news/politics/article/president-trump-orders-divestment-in-2-9-million-21273498.php&amp;ct=ga&amp;cd=CAIyHDMxNmE1OTNkZTEyZjQ2YTM6Y29tOmVuOlVTOlI&amp;usg=AOvVaw15zCctxhWxEyTfDBbEyrzM" TargetMode="External"/><Relationship Id="rId20" Type="http://schemas.openxmlformats.org/officeDocument/2006/relationships/hyperlink" Target="https://www.google.com/url?rct=j&amp;sa=t&amp;url=https://news.ssbcrack.com/lithuania-plans-record-defense-spending-with-new-state-owned-defense-holding-and-major-military-acquisitions/&amp;ct=ga&amp;cd=CAIyGmEyZWM3MTRjMDNiY2Y1ZGI6Y29tOmVuOlVT&amp;usg=AOvVaw1qmYVWHR17GpCHUlIk2U3L" TargetMode="External"/><Relationship Id="rId29" Type="http://schemas.openxmlformats.org/officeDocument/2006/relationships/hyperlink" Target="https://www.google.com/url?rct=j&amp;sa=t&amp;url=https://www.autoevolution.com/news/new-drone-manufacturing-hub-to-boost-canadas-defense-capabilities-259915.html&amp;ct=ga&amp;cd=CAIyGmEyZWM3MTRjMDNiY2Y1ZGI6Y29tOmVuOlVT&amp;usg=AOvVaw3SijnEu7MnWXu0mbA-jqI0" TargetMode="External"/><Relationship Id="rId1" Type="http://schemas.openxmlformats.org/officeDocument/2006/relationships/hyperlink" Target="https://www.google.com/url?rct=j&amp;sa=t&amp;url=https://www.lelezard.com/en/news-22065344.html&amp;ct=ga&amp;cd=CAIyHDEzYWM2MTZjN2IyNDZmMjI6Y29tOmVuOlVTOlI&amp;usg=AOvVaw0bDyXevXeNCNyO7Hg09nfV" TargetMode="External"/><Relationship Id="rId6" Type="http://schemas.openxmlformats.org/officeDocument/2006/relationships/hyperlink" Target="https://www.google.com/url?rct=j&amp;sa=t&amp;url=https://www.businesswire.com/news/home/20251211368812/en/Aretum-Announces-Acquisition-of-Veterans-Engineering-Expanding-Federal-IT-Cyber-and-Cloud-Capabilities&amp;ct=ga&amp;cd=CAIyHDEzYWM2MTZjN2IyNDZmMjI6Y29tOmVuOlVTOlI&amp;usg=AOvVaw2ypWCvZVg5uago_JZgpmpu" TargetMode="External"/><Relationship Id="rId11" Type="http://schemas.openxmlformats.org/officeDocument/2006/relationships/hyperlink" Target="https://www.google.com/url?rct=j&amp;sa=t&amp;url=https://www.pehub.com/greenbriar-unveils-applied-aerospace-defense/&amp;ct=ga&amp;cd=CAIyHDEzYWM2MTZjN2IyNDZmMjI6Y29tOmVuOlVTOlI&amp;usg=AOvVaw3UdZPeqQFBij4G859ZSd9d" TargetMode="External"/><Relationship Id="rId24" Type="http://schemas.openxmlformats.org/officeDocument/2006/relationships/hyperlink" Target="https://www.google.com/url?rct=j&amp;sa=t&amp;url=https://thedefensepost.com/2025/11/28/hanwha-systems-production-facility/&amp;ct=ga&amp;cd=CAIyGmEyZWM3MTRjMDNiY2Y1ZGI6Y29tOmVuOlVT&amp;usg=AOvVaw38yTEEIld28-QLygEZSjld" TargetMode="External"/><Relationship Id="rId32" Type="http://schemas.openxmlformats.org/officeDocument/2006/relationships/hyperlink" Target="https://www.google.com/url?rct=j&amp;sa=t&amp;url=https://dev.ua/en/news/uriad-vidkryv-vyrobnykam-dostup-do-tekhnolohii-minoborony-i-zapustyv-mekhanizm-dlia-ikhnoho-seriinoho-vypusku-1760451420&amp;ct=ga&amp;cd=CAIyGmEyZWM3MTRjMDNiY2Y1ZGI6Y29tOmVuOlVT&amp;usg=AOvVaw3g2CLV-XdI-uKNBAY5LRsw" TargetMode="External"/><Relationship Id="rId5" Type="http://schemas.openxmlformats.org/officeDocument/2006/relationships/hyperlink" Target="https://www.google.com/url?rct=j&amp;sa=t&amp;url=https://www.stocktitan.net/news/NUKK/nukkleus-inc-receives-shareholder-approval-to-acquire-star-26-xr3buzgyi0wm.html&amp;ct=ga&amp;cd=CAIyHDEzYWM2MTZjN2IyNDZmMjI6Y29tOmVuOlVTOlI&amp;usg=AOvVaw0sfnOp4zg4iiP9p-5nVf-0" TargetMode="External"/><Relationship Id="rId15" Type="http://schemas.openxmlformats.org/officeDocument/2006/relationships/hyperlink" Target="https://www.google.com/url?rct=j&amp;sa=t&amp;url=https://www.tipranks.com/news/weekend-updates/rocket-lab-usa-soars-as-massive-defense-deal-lands&amp;ct=ga&amp;cd=CAIyHDMxNmE1OTNkZTEyZjQ2YTM6Y29tOmVuOlVTOlI&amp;usg=AOvVaw2ec2JClsRNqx2Dz2qc2U2E" TargetMode="External"/><Relationship Id="rId23" Type="http://schemas.openxmlformats.org/officeDocument/2006/relationships/hyperlink" Target="https://www.google.com/url?rct=j&amp;sa=t&amp;url=https://www.designdevelopmenttoday.com/industries/iot/news/22955964/bae-systems-launches-velhawk-cybersecurity-solutions-to-accelerate-cyber-defense&amp;ct=ga&amp;cd=CAIyGmEyZWM3MTRjMDNiY2Y1ZGI6Y29tOmVuOlVT&amp;usg=AOvVaw0xou61WsxjTrVbiTE93Jdb" TargetMode="External"/><Relationship Id="rId28" Type="http://schemas.openxmlformats.org/officeDocument/2006/relationships/hyperlink" Target="https://www.google.com/url?rct=j&amp;sa=t&amp;url=https://www.globenewswire.com/news-release/2025/11/17/3189062/224/en/Kratos-Opens-New-60-000-Sq-Ft-Jerusalem-Facility-for-Microwave-Electronics-Division.html&amp;ct=ga&amp;cd=CAIyGmEyZWM3MTRjMDNiY2Y1ZGI6Y29tOmVuOlVT&amp;usg=AOvVaw2hoFyu5GQtq_Hxw2ME4zQ2" TargetMode="External"/><Relationship Id="rId10" Type="http://schemas.openxmlformats.org/officeDocument/2006/relationships/hyperlink" Target="https://www.google.com/url?rct=j&amp;sa=t&amp;url=https://www.hklaw.com/en/news/pressreleases/2025/12/holland-knight-advises-electrosoft-services-in-strategic-investmeny&amp;ct=ga&amp;cd=CAIyHDEzYWM2MTZjN2IyNDZmMjI6Y29tOmVuOlVTOlI&amp;usg=AOvVaw0U6RwEMWrERxUatjq6bVI4" TargetMode="External"/><Relationship Id="rId19" Type="http://schemas.openxmlformats.org/officeDocument/2006/relationships/hyperlink" Target="https://www.google.com/url?rct=j&amp;sa=t&amp;url=https://www.voxelmatters.com/aml3d-reports-strong-2025-growth-with-new-defense-contracts-and-u-s-expansion/&amp;ct=ga&amp;cd=CAIyGmEyZWM3MTRjMDNiY2Y1ZGI6Y29tOmVuOlVT&amp;usg=AOvVaw0vttwnO9cny7Wr1NmkPLg0" TargetMode="External"/><Relationship Id="rId31" Type="http://schemas.openxmlformats.org/officeDocument/2006/relationships/hyperlink" Target="https://www.google.com/url?rct=j&amp;sa=t&amp;url=https://www.bostonglobe.com/2025/10/22/business/phoenix-tailings-rare-earths-china-factory/&amp;ct=ga&amp;cd=CAIyGmEyZWM3MTRjMDNiY2Y1ZGI6Y29tOmVuOlVT&amp;usg=AOvVaw3_F5C-1hVZusLQKHkx4TMD" TargetMode="External"/><Relationship Id="rId4" Type="http://schemas.openxmlformats.org/officeDocument/2006/relationships/hyperlink" Target="https://www.google.com/url?rct=j&amp;sa=t&amp;url=https://www.stocktitan.net/news/CG/vantage-group-holdings-to-be-acquired-by-howard-hughes-4uwvrcm6be9e.html&amp;ct=ga&amp;cd=CAIyHDEzYWM2MTZjN2IyNDZmMjI6Y29tOmVuOlVTOlI&amp;usg=AOvVaw2x-u8v5L44LhbGzoUP-lNe" TargetMode="External"/><Relationship Id="rId9" Type="http://schemas.openxmlformats.org/officeDocument/2006/relationships/hyperlink" Target="https://www.google.com/url?rct=j&amp;sa=t&amp;url=https://www.medicaleconomics.com/view/in-defense-of-private-equity-with-jared-rhoads-m-s-m-p-h-of-the-center-for-modern-health&amp;ct=ga&amp;cd=CAIyHDEzYWM2MTZjN2IyNDZmMjI6Y29tOmVuOlVTOlI&amp;usg=AOvVaw2gsK1JmnGXzvdaG3GX-prf" TargetMode="External"/><Relationship Id="rId14" Type="http://schemas.openxmlformats.org/officeDocument/2006/relationships/hyperlink" Target="https://www.google.com/url?rct=j&amp;sa=t&amp;url=https://www.tradingview.com/news/reuters.com,2025-12-04:newsml_MFN93yqh1:0-inside-information-incap-acquires-lacon-group-strengthening-its-position-in-the-fast-growing-defense-sector-and-expanding-offering-to-design-and-development-services/&amp;ct=ga&amp;cd=CAIyHDEzYWM2MTZjN2IyNDZmMjI6Y29tOmVuOlVTOlI&amp;usg=AOvVaw3Sz5P9E6f17KF9W1kwBK76" TargetMode="External"/><Relationship Id="rId22" Type="http://schemas.openxmlformats.org/officeDocument/2006/relationships/hyperlink" Target="https://www.google.com/url?rct=j&amp;sa=t&amp;url=https://www.armyrecognition.com/news/defense-web-tv/edex-2025-day-2-egypt-unveils-cutting-edge-defense-systems-and-new-military-products&amp;ct=ga&amp;cd=CAIyGmEyZWM3MTRjMDNiY2Y1ZGI6Y29tOmVuOlVT&amp;usg=AOvVaw2C9CuRvgT1aqO8UP1vZmTs" TargetMode="External"/><Relationship Id="rId27" Type="http://schemas.openxmlformats.org/officeDocument/2006/relationships/hyperlink" Target="https://www.google.com/url?rct=j&amp;sa=t&amp;url=https://www.roboticstomorrow.com/news/2025/11/17/palladyne-ai-establishes-vertically-integrated-us-defense-technology-pioneer-through-transformative-acquisitions-delivering-advanced-avionics-precision-component-manufacturing-and-embodied-ai/25807&amp;ct=ga&amp;cd=CAIyGmEyZWM3MTRjMDNiY2Y1ZGI6Y29tOmVuOlVT&amp;usg=AOvVaw2WClZhMaoQ2XYeGT0M91dq" TargetMode="External"/><Relationship Id="rId30" Type="http://schemas.openxmlformats.org/officeDocument/2006/relationships/hyperlink" Target="https://www.google.com/url?rct=j&amp;sa=t&amp;url=https://m.investing.com/news/transcripts/earnings-call-transcript-nve-corporations-q2-2025-performance-and-strategic-focus-93CH-4303196%3FampMode%3D1&amp;ct=ga&amp;cd=CAIyGmEyZWM3MTRjMDNiY2Y1ZGI6Y29tOmVuOlVT&amp;usg=AOvVaw2xjsSVDepPen07Hku6XTsQ" TargetMode="External"/><Relationship Id="rId8" Type="http://schemas.openxmlformats.org/officeDocument/2006/relationships/hyperlink" Target="https://www.google.com/url?rct=j&amp;sa=t&amp;url=https://www.bizjournals.com/washington/news/2025/12/10/dc-area-tech-firms-nine-figure-deals.html&amp;ct=ga&amp;cd=CAIyHDEzYWM2MTZjN2IyNDZmMjI6Y29tOmVuOlVTOlI&amp;usg=AOvVaw3HXnAdPg_GtbKtRlXo-PjC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url?rct=j&amp;sa=t&amp;url=https://www.msn.com/en-us/money/markets/carney-s-canada-defense-plan-could-see-double-economic-return-cibc/ar-AA1FEWHa%3Focid%3DUE07DHP&amp;ct=ga&amp;cd=CAIyHDMxNmE1OTNkZTEyZjQ2YTM6Y29tOmVuOlVTOlI&amp;usg=AOvVaw0_2FNCvpHxXllcPin7hEq6" TargetMode="External"/><Relationship Id="rId21" Type="http://schemas.openxmlformats.org/officeDocument/2006/relationships/hyperlink" Target="https://www.google.com/url?rct=j&amp;sa=t&amp;url=https://www.timesunion.com/news/world/article/top-defense-officials-say-ukraine-war-has-blurred-20355452.php&amp;ct=ga&amp;cd=CAIyHDMxNmE1OTNkZTEyZjQ2YTM6Y29tOmVuOlVTOlI&amp;usg=AOvVaw03YoDhg-GQ6ekSh2WSWGvK" TargetMode="External"/><Relationship Id="rId42" Type="http://schemas.openxmlformats.org/officeDocument/2006/relationships/hyperlink" Target="https://www.google.com/url?rct=j&amp;sa=t&amp;url=https://euromaidanpress.com/2025/05/26/ukrainian-attack-targets-russian-facility-800-kilometers-from-border-that-supplies-gunpowder-manufacturers/&amp;ct=ga&amp;cd=CAIyGmEyZWM3MTRjMDNiY2Y1ZGI6Y29tOmVuOlVT&amp;usg=AOvVaw3g8gtZHM9blFv-xJgpJznM" TargetMode="External"/><Relationship Id="rId47" Type="http://schemas.openxmlformats.org/officeDocument/2006/relationships/hyperlink" Target="https://www.google.com/url?rct=j&amp;sa=t&amp;url=https://www.digitalengineering247.com/article/nikon-and-america-makes-partner-to-strengthen-u.s-defense-manufacturing/additive-manufacturing&amp;ct=ga&amp;cd=CAIyGmEyZWM3MTRjMDNiY2Y1ZGI6Y29tOmVuOlVT&amp;usg=AOvVaw2-bzKsU9zjiAov-KAK4OYM" TargetMode="External"/><Relationship Id="rId63" Type="http://schemas.openxmlformats.org/officeDocument/2006/relationships/hyperlink" Target="https://www.google.com/url?rct=j&amp;sa=t&amp;url=https://www.defenseworld.net/2025/07/08/wedmont-private-capital-sells-1822-shares-of-microsoft-corporation-nasdaqmsft.html&amp;ct=ga&amp;cd=CAIyHDEzYWM2MTZjN2IyNDZmMjI6Y29tOmVuOlVTOlI&amp;usg=AOvVaw2HSDilJRSRpn4YXLIedNH1" TargetMode="External"/><Relationship Id="rId68" Type="http://schemas.openxmlformats.org/officeDocument/2006/relationships/hyperlink" Target="https://www.google.com/url?rct=j&amp;sa=t&amp;url=https://www.defenseworld.net/2025/07/04/eaton-vance-enhanced-equity-income-fund-ii-nysearcaeos-shares-sold-by-cambridge-investment-research-advisors-inc.html&amp;ct=ga&amp;cd=CAIyHDEzYWM2MTZjN2IyNDZmMjI6Y29tOmVuOlVTOlI&amp;usg=AOvVaw3kCATDwrQn6Oq9mEpwJ-Vh" TargetMode="External"/><Relationship Id="rId84" Type="http://schemas.openxmlformats.org/officeDocument/2006/relationships/hyperlink" Target="https://www.google.com/url?rct=j&amp;sa=t&amp;url=https://www.wsj.com/world/middle-east/israel-gaza-rafah-relocation-lawyer-concerns-01d81821&amp;ct=ga&amp;cd=CAIyHDMxNmE1OTNkZTEyZjQ2YTM6Y29tOmVuOlVTOlI&amp;usg=AOvVaw2tJZPexCJn31qNkSWsT2Jj" TargetMode="External"/><Relationship Id="rId89" Type="http://schemas.openxmlformats.org/officeDocument/2006/relationships/hyperlink" Target="https://www.google.com/url?rct=j&amp;sa=t&amp;url=https://www.washingtontechnology.com/companies/2025/07/sales-defense-and-tech-leadership-roles-across-market/406663/%3Foref%3Dwt-homepage-river&amp;ct=ga&amp;cd=CAIyHDMxNmE1OTNkZTEyZjQ2YTM6Y29tOmVuOlVTOlI&amp;usg=AOvVaw0B-E3-lv9Ley2c7VdyNgFp" TargetMode="External"/><Relationship Id="rId112" Type="http://schemas.openxmlformats.org/officeDocument/2006/relationships/hyperlink" Target="https://www.google.com/url?rct=j&amp;sa=t&amp;url=https://www.bloomberg.com/news/articles/2025-06-18/ex-spacex-staffers-raise-cash-for-us-manufacturing-startup&amp;ct=ga&amp;cd=CAIyGmEyZWM3MTRjMDNiY2Y1ZGI6Y29tOmVuOlVT&amp;usg=AOvVaw0r4s7j5bbVlI4FnzPPMH_y" TargetMode="External"/><Relationship Id="rId16" Type="http://schemas.openxmlformats.org/officeDocument/2006/relationships/hyperlink" Target="https://www.google.com/url?rct=j&amp;sa=t&amp;url=https://www.defenseworld.net/2025/05/22/leisure-stocks-to-consider-may-20th.html&amp;ct=ga&amp;cd=CAIyHDEzYWM2MTZjN2IyNDZmMjI6Y29tOmVuOlVTOlI&amp;usg=AOvVaw306PNbQKZXQzl-IovKU_Pi" TargetMode="External"/><Relationship Id="rId107" Type="http://schemas.openxmlformats.org/officeDocument/2006/relationships/hyperlink" Target="https://www.google.com/url?rct=j&amp;sa=t&amp;url=https://www.socialnews.xyz/2025/06/26/lt-technology-services-launches-new-engineering-design-center-in-plano-texas-to-propel-advancements-in-ai-tech-digital-manufacturing/&amp;ct=ga&amp;cd=CAIyGmEyZWM3MTRjMDNiY2Y1ZGI6Y29tOmVuOlVT&amp;usg=AOvVaw0JuYescocmd8bPI5ov8Qix" TargetMode="External"/><Relationship Id="rId11" Type="http://schemas.openxmlformats.org/officeDocument/2006/relationships/hyperlink" Target="https://www.google.com/url?rct=j&amp;sa=t&amp;url=https://www.businesswire.com/news/home/20250526875032/en/ATL-Partners-Announces-Sale-of-Geost-to-Rocket-Lab-and-Launches-New-Defense-Electronics-Platform-Trident-Solutions&amp;ct=ga&amp;cd=CAIyHDEzYWM2MTZjN2IyNDZmMjI6Y29tOmVuOlVTOlI&amp;usg=AOvVaw1kqJ9T2Dj0e19levYrqsSF" TargetMode="External"/><Relationship Id="rId32" Type="http://schemas.openxmlformats.org/officeDocument/2006/relationships/hyperlink" Target="https://www.google.com/url?rct=j&amp;sa=t&amp;url=https://www.tipranks.com/news/weekend-updates/meta-platforms-soars-with-ai-innovations-and-defense-deal&amp;ct=ga&amp;cd=CAIyHDMxNmE1OTNkZTEyZjQ2YTM6Y29tOmVuOlVTOlI&amp;usg=AOvVaw1rk-8moL9WnRQr_cn1y3gW" TargetMode="External"/><Relationship Id="rId37" Type="http://schemas.openxmlformats.org/officeDocument/2006/relationships/hyperlink" Target="https://www.google.com/url?rct=j&amp;sa=t&amp;url=https://www.cbsnews.com/news/meta-ai-military-products-anduril/&amp;ct=ga&amp;cd=CAIyGmEyZWM3MTRjMDNiY2Y1ZGI6Y29tOmVuOlVT&amp;usg=AOvVaw0R3ghws7tCpZtqFzzeUAwq" TargetMode="External"/><Relationship Id="rId53" Type="http://schemas.openxmlformats.org/officeDocument/2006/relationships/hyperlink" Target="https://www.google.com/url?rct=j&amp;sa=t&amp;url=https://www.tradingview.com/news/tradingview:2418e16de1a62:0-rbc-bearings-inc-sec-10-k-report/&amp;ct=ga&amp;cd=CAIyGmEyZWM3MTRjMDNiY2Y1ZGI6Y29tOmVuOlVT&amp;usg=AOvVaw3-FUt5qx0xcsMrUvSFTDGc" TargetMode="External"/><Relationship Id="rId58" Type="http://schemas.openxmlformats.org/officeDocument/2006/relationships/hyperlink" Target="https://www.google.com/url?rct=j&amp;sa=t&amp;url=https://federalnewsnetwork.com/defense-industry/2025/07/defense-companies-not-exiting-market-at-such-a-fast-rate/%3Freadmore%3D1&amp;ct=ga&amp;cd=CAIyHDEzYWM2MTZjN2IyNDZmMjI6Y29tOmVuOlVTOlI&amp;usg=AOvVaw36FgJ3n62acSKE4MSnKqSk" TargetMode="External"/><Relationship Id="rId74" Type="http://schemas.openxmlformats.org/officeDocument/2006/relationships/hyperlink" Target="https://www.google.com/url?rct=j&amp;sa=t&amp;url=https://www.reuters.com/business/levi-strauss-shares-jump-after-raising-forecasts-strong-global-denim-demand-2025-07-11/&amp;ct=ga&amp;cd=CAIyHDMxNmE1OTNkZTEyZjQ2YTM6Y29tOmVuOlVTOlI&amp;usg=AOvVaw15CU2u2i3v8oDvTWyIygXv" TargetMode="External"/><Relationship Id="rId79" Type="http://schemas.openxmlformats.org/officeDocument/2006/relationships/hyperlink" Target="https://www.google.com/url?rct=j&amp;sa=t&amp;url=https://aviationweek.com/aerospace/advanced-air-mobility/vertical-aerospace-extends-cash-runway-60m-equity-raise&amp;ct=ga&amp;cd=CAIyHDMxNmE1OTNkZTEyZjQ2YTM6Y29tOmVuOlVTOlI&amp;usg=AOvVaw0DL2hlUCPftklTBXys7MnP" TargetMode="External"/><Relationship Id="rId102" Type="http://schemas.openxmlformats.org/officeDocument/2006/relationships/hyperlink" Target="https://www.google.com/url?rct=j&amp;sa=t&amp;url=https://themachinemaker.com/news/paras-defence-secures-rs-22-crore-contract-from-french-company-cerbair/&amp;ct=ga&amp;cd=CAIyGmEyZWM3MTRjMDNiY2Y1ZGI6Y29tOmVuOlVT&amp;usg=AOvVaw3v6mC3GM5lUeyG4GD818fb" TargetMode="External"/><Relationship Id="rId5" Type="http://schemas.openxmlformats.org/officeDocument/2006/relationships/hyperlink" Target="https://www.google.com/url?rct=j&amp;sa=t&amp;url=https://www.csis.org/analysis/mobilizing-us-japan-private-finance-power-energy-transition&amp;ct=ga&amp;cd=CAIyHDEzYWM2MTZjN2IyNDZmMjI6Y29tOmVuOlVTOlI&amp;usg=AOvVaw3XznbIxfl_uwd9qMH4CUYz" TargetMode="External"/><Relationship Id="rId90" Type="http://schemas.openxmlformats.org/officeDocument/2006/relationships/hyperlink" Target="https://www.google.com/url?rct=j&amp;sa=t&amp;url=https://techcrunch.com/2025/07/11/yc-backed-apolink-by-19-year-old-bags-4-3m-to-build-24-7-connectivity-for-leo-satellites/&amp;ct=ga&amp;cd=CAIyHDMxNmE1OTNkZTEyZjQ2YTM6Y29tOmVuOlVTOlI&amp;usg=AOvVaw0ZdAR2_74ncqE5nEu05GQc" TargetMode="External"/><Relationship Id="rId95" Type="http://schemas.openxmlformats.org/officeDocument/2006/relationships/hyperlink" Target="https://www.google.com/url?rct=j&amp;sa=t&amp;url=https://en.defence-ua.com/industries/could_uk_lose_its_fighter_jet_manufacturing_capability_after_eurofighter_typhoon_production_ends-15080.html&amp;ct=ga&amp;cd=CAIyGmEyZWM3MTRjMDNiY2Y1ZGI6Y29tOmVuOlVT&amp;usg=AOvVaw1hl4kPhPyMP7jC9xSume4L" TargetMode="External"/><Relationship Id="rId22" Type="http://schemas.openxmlformats.org/officeDocument/2006/relationships/hyperlink" Target="https://www.google.com/url?rct=j&amp;sa=t&amp;url=https://www.defenseworld.net/2025/06/01/pure-storage-nysepstg-raised-to-buy-at-wall-street-zen.html&amp;ct=ga&amp;cd=CAIyHDMxNmE1OTNkZTEyZjQ2YTM6Y29tOmVuOlVTOlI&amp;usg=AOvVaw1n-wgah6wvrlAi3VHj2Rt-" TargetMode="External"/><Relationship Id="rId27" Type="http://schemas.openxmlformats.org/officeDocument/2006/relationships/hyperlink" Target="https://www.google.com/url?rct=j&amp;sa=t&amp;url=https://www.forbes.com/sites/joelshulman/2025/05/31/spacex-palantir-anduril-power-the-golden-dome-defense-push/&amp;ct=ga&amp;cd=CAIyHDMxNmE1OTNkZTEyZjQ2YTM6Y29tOmVuOlVTOlI&amp;usg=AOvVaw0ZnZmd_JKPqpVawYcoxMMM" TargetMode="External"/><Relationship Id="rId43" Type="http://schemas.openxmlformats.org/officeDocument/2006/relationships/hyperlink" Target="https://www.google.com/url?rct=j&amp;sa=t&amp;url=https://militarnyi.com/en/news/drones-attack-chemical-plant-supplying-rocket-engine-components/&amp;ct=ga&amp;cd=CAIyGmEyZWM3MTRjMDNiY2Y1ZGI6Y29tOmVuOlVT&amp;usg=AOvVaw2Wg8l0A7Fbbr51nyPbQYEv" TargetMode="External"/><Relationship Id="rId48" Type="http://schemas.openxmlformats.org/officeDocument/2006/relationships/hyperlink" Target="https://www.google.com/url?rct=j&amp;sa=t&amp;url=https://www.stocktitan.net/news/LHX/l3harris-marks-major-milestone-for-new-solid-rocket-motor-factories-xobhmf5d514h.html&amp;ct=ga&amp;cd=CAIyGmEyZWM3MTRjMDNiY2Y1ZGI6Y29tOmVuOlVT&amp;usg=AOvVaw0SjlBlufA_J3tCZDRnxpl6" TargetMode="External"/><Relationship Id="rId64" Type="http://schemas.openxmlformats.org/officeDocument/2006/relationships/hyperlink" Target="https://www.google.com/url?rct=j&amp;sa=t&amp;url=https://www.tipranks.com/news/the-fly/heritage-crystal-clean-go-shop-period-expires-in-previously-announced-merger%3Futm_source%3Dmarkets.businessinsider.com%26utm_medium%3Dreferral&amp;ct=ga&amp;cd=CAIyHDEzYWM2MTZjN2IyNDZmMjI6Y29tOmVuOlVTOlI&amp;usg=AOvVaw0Hbft7Ve2CLswuL58gVMcS" TargetMode="External"/><Relationship Id="rId69" Type="http://schemas.openxmlformats.org/officeDocument/2006/relationships/hyperlink" Target="https://www.google.com/url?rct=j&amp;sa=t&amp;url=https://www.defenseworld.net/2025/07/04/janney-montgomery-scott-llc-acquires-3140-shares-of-invesco-global-listed-private-equity-etf-nysearcapsp.html&amp;ct=ga&amp;cd=CAIyHDEzYWM2MTZjN2IyNDZmMjI6Y29tOmVuOlVTOlI&amp;usg=AOvVaw2b1FQXm9wtpD9zay7Dvwlv" TargetMode="External"/><Relationship Id="rId113" Type="http://schemas.openxmlformats.org/officeDocument/2006/relationships/hyperlink" Target="https://www.google.com/url?rct=j&amp;sa=t&amp;url=https://insideunmannedsystems.com/re-shoring-and-reviving-the-defense-industrial-base/&amp;ct=ga&amp;cd=CAIyGmEyZWM3MTRjMDNiY2Y1ZGI6Y29tOmVuOlVT&amp;usg=AOvVaw08HX73YPX4YxJIpJlBK6FJ" TargetMode="External"/><Relationship Id="rId80" Type="http://schemas.openxmlformats.org/officeDocument/2006/relationships/hyperlink" Target="https://www.google.com/url?rct=j&amp;sa=t&amp;url=https://www.reuters.com/business/realsense-spins-out-intel-secures-50-million-drive-ai-vision-robotics-2025-07-11/&amp;ct=ga&amp;cd=CAIyHDMxNmE1OTNkZTEyZjQ2YTM6Y29tOmVuOlVTOlI&amp;usg=AOvVaw3MxeOaMAn4A7kDjYiAoOjt" TargetMode="External"/><Relationship Id="rId85" Type="http://schemas.openxmlformats.org/officeDocument/2006/relationships/hyperlink" Target="https://www.google.com/url?rct=j&amp;sa=t&amp;url=https://penncapital-star.com/government-politics/new-house-members-including-one-from-pa-saw-pac-donations-jump-after-getting-committee-assignments/&amp;ct=ga&amp;cd=CAIyHDMxNmE1OTNkZTEyZjQ2YTM6Y29tOmVuOlVTOlI&amp;usg=AOvVaw1Hua19Tki14_ScIxRm5IIY" TargetMode="External"/><Relationship Id="rId12" Type="http://schemas.openxmlformats.org/officeDocument/2006/relationships/hyperlink" Target="https://www.google.com/url?rct=j&amp;sa=t&amp;url=https://www.fticonsulting.com/insights/articles/2025-defense-dealmaking-year-disruption&amp;ct=ga&amp;cd=CAIyHDEzYWM2MTZjN2IyNDZmMjI6Y29tOmVuOlVTOlI&amp;usg=AOvVaw214TDhoGp7yObK143Nmse7" TargetMode="External"/><Relationship Id="rId17" Type="http://schemas.openxmlformats.org/officeDocument/2006/relationships/hyperlink" Target="https://www.google.com/url?rct=j&amp;sa=t&amp;url=https://citywire.com/ria/news/fund-files-franklin-to-convert-10-putnam-funds-to-etfs-blackrock-launches-defense-etf/a2466329&amp;ct=ga&amp;cd=CAIyHDEzYWM2MTZjN2IyNDZmMjI6Y29tOmVuOlVTOlI&amp;usg=AOvVaw2_N-mBF2Gu3PWt-ZV5Mc_0" TargetMode="External"/><Relationship Id="rId33" Type="http://schemas.openxmlformats.org/officeDocument/2006/relationships/hyperlink" Target="https://www.google.com/url?rct=j&amp;sa=t&amp;url=https://www.msn.com/en-us/news/world/us-calls-for-asia-allies-to-boost-defenses-in-face-of-china-s-imminent-threat-hegseth-tells-top-defense-forum/ar-AA1FOAtI&amp;ct=ga&amp;cd=CAIyHDMxNmE1OTNkZTEyZjQ2YTM6Y29tOmVuOlVTOlI&amp;usg=AOvVaw15Wnvyd9_hjQWb0vzGnBm2" TargetMode="External"/><Relationship Id="rId38" Type="http://schemas.openxmlformats.org/officeDocument/2006/relationships/hyperlink" Target="https://www.google.com/url?rct=j&amp;sa=t&amp;url=https://www.clickorlando.com/news/world/2025/05/29/nordic-nations-embrace-total-defense-as-the-risk-of-sabotage-and-war-rises/&amp;ct=ga&amp;cd=CAIyGmEyZWM3MTRjMDNiY2Y1ZGI6Y29tOmVuOlVT&amp;usg=AOvVaw1a2Oxlvt1ALHWCahoeGs9l" TargetMode="External"/><Relationship Id="rId59" Type="http://schemas.openxmlformats.org/officeDocument/2006/relationships/hyperlink" Target="https://www.google.com/url?rct=j&amp;sa=t&amp;url=https://www.hklaw.com/en/news/pressreleases/2025/07/holland-and-knight-advises-chesapeake-technology-international-in-sale&amp;ct=ga&amp;cd=CAIyHDEzYWM2MTZjN2IyNDZmMjI6Y29tOmVuOlVTOlI&amp;usg=AOvVaw3F13Emrelj6G4SA9PAUjQW" TargetMode="External"/><Relationship Id="rId103" Type="http://schemas.openxmlformats.org/officeDocument/2006/relationships/hyperlink" Target="https://www.google.com/url?rct=j&amp;sa=t&amp;url=https://dallasinnovates.com/india-based-lt-technology-services-launches-new-engineering-design-center-in-north-texas/&amp;ct=ga&amp;cd=CAIyGmEyZWM3MTRjMDNiY2Y1ZGI6Y29tOmVuOlVT&amp;usg=AOvVaw1RYozShMcFXSYU0Y3j-QU6" TargetMode="External"/><Relationship Id="rId108" Type="http://schemas.openxmlformats.org/officeDocument/2006/relationships/hyperlink" Target="https://www.google.com/url?rct=j&amp;sa=t&amp;url=https://www.nationaldefensemagazine.org/articles/2025/6/27/norway-defense-industry-part-of-trend-to-boost-european-capacity&amp;ct=ga&amp;cd=CAIyGmEyZWM3MTRjMDNiY2Y1ZGI6Y29tOmVuOlVT&amp;usg=AOvVaw2UCtMz6ctzUX32GB5WWqJs" TargetMode="External"/><Relationship Id="rId54" Type="http://schemas.openxmlformats.org/officeDocument/2006/relationships/hyperlink" Target="https://www.google.com/url?rct=j&amp;sa=t&amp;url=https://hotellaw.jmbm.com/ada-defense-lawyer-a-big-win-against-abusive-ada-lawsuits-recovering-attorneys-fees-in-ada-and-unruh-act-cases.html&amp;ct=ga&amp;cd=CAIyHDEzYWM2MTZjN2IyNDZmMjI6Y29tOmVuOlVTOlI&amp;usg=AOvVaw1AaUpM2oD3EV6DUqaQrvDr" TargetMode="External"/><Relationship Id="rId70" Type="http://schemas.openxmlformats.org/officeDocument/2006/relationships/hyperlink" Target="https://www.google.com/url?rct=j&amp;sa=t&amp;url=http://www.washingtontechnology.com/companies/2025/07/b-acquires-hexagon-federals-defense-intelligence-portfolio/406518/%3Foref%3Dwt-homepage-river&amp;ct=ga&amp;cd=CAIyHDEzYWM2MTZjN2IyNDZmMjI6Y29tOmVuOlVTOlI&amp;usg=AOvVaw1rqacCiqs-bxrnMm6JDJhQ" TargetMode="External"/><Relationship Id="rId75" Type="http://schemas.openxmlformats.org/officeDocument/2006/relationships/hyperlink" Target="https://www.google.com/url?rct=j&amp;sa=t&amp;url=https://www.reuters.com/business/musks-xai-seeks-up-200-billion-valuation-next-fundraising-ft-reports-2025-07-11/&amp;ct=ga&amp;cd=CAIyHDMxNmE1OTNkZTEyZjQ2YTM6Y29tOmVuOlVTOlI&amp;usg=AOvVaw0q7lWA2CQ4-orjWme4SivP" TargetMode="External"/><Relationship Id="rId91" Type="http://schemas.openxmlformats.org/officeDocument/2006/relationships/hyperlink" Target="https://www.google.com/url?rct=j&amp;sa=t&amp;url=https://seekingalpha.com/news/4466714-milestone-pharmaceuticals-proposes-capital-raise-via-securities-offering&amp;ct=ga&amp;cd=CAIyHDMxNmE1OTNkZTEyZjQ2YTM6Y29tOmVuOlVTOlI&amp;usg=AOvVaw1RFcKoDCTSZaYbaMMNgjow" TargetMode="External"/><Relationship Id="rId96" Type="http://schemas.openxmlformats.org/officeDocument/2006/relationships/hyperlink" Target="https://www.google.com/url?rct=j&amp;sa=t&amp;url=https://www.turkiyetoday.com/nation/turkish-norwegian-defense-firms-to-build-ammunition-filling-facility-for-denmark-3203866&amp;ct=ga&amp;cd=CAIyGmEyZWM3MTRjMDNiY2Y1ZGI6Y29tOmVuOlVT&amp;usg=AOvVaw2CN7XjYG7ID5H2Xp3g9asX" TargetMode="External"/><Relationship Id="rId1" Type="http://schemas.openxmlformats.org/officeDocument/2006/relationships/hyperlink" Target="https://www.google.com/url?rct=j&amp;sa=t&amp;url=https://www.defenseworld.net/2025/05/31/capital-southwest-co-nasdaqcswc-shares-acquired-by-northern-trust-corp.html&amp;ct=ga&amp;cd=CAIyHDEzYWM2MTZjN2IyNDZmMjI6Y29tOmVuOlVTOlI&amp;usg=AOvVaw1mSHnXIo7x_h9-HJieMnVX" TargetMode="External"/><Relationship Id="rId6" Type="http://schemas.openxmlformats.org/officeDocument/2006/relationships/hyperlink" Target="https://www.google.com/url?rct=j&amp;sa=t&amp;url=https://www.barchart.com/story/news/32630377/kochav-defense-acquisition-corp-announces-completion-of-253-million-ipo&amp;ct=ga&amp;cd=CAIyHDEzYWM2MTZjN2IyNDZmMjI6Y29tOmVuOlVTOlI&amp;usg=AOvVaw2OTMN-47Q5Ll1xzcgRys_c" TargetMode="External"/><Relationship Id="rId15" Type="http://schemas.openxmlformats.org/officeDocument/2006/relationships/hyperlink" Target="https://www.google.com/url?rct=j&amp;sa=t&amp;url=https://www.msn.com/en-us/money/topstocks/rbc-bearings-bolsters-aerospace-and-defense-segment-with-vacco-industries-acquisition/ar-AA1Fmvw7&amp;ct=ga&amp;cd=CAIyHDEzYWM2MTZjN2IyNDZmMjI6Y29tOmVuOlVTOlI&amp;usg=AOvVaw2hzzqaTL5x6nq1KsvTMNKW" TargetMode="External"/><Relationship Id="rId23" Type="http://schemas.openxmlformats.org/officeDocument/2006/relationships/hyperlink" Target="https://www.google.com/url?rct=j&amp;sa=t&amp;url=https://fox5sandiego.com/news/world-news/ap-international/ap-hegseth-says-us-will-stand-by-indo-pacific-allies-against-imminent-threat-of-china/&amp;ct=ga&amp;cd=CAIyHDMxNmE1OTNkZTEyZjQ2YTM6Y29tOmVuOlVTOlI&amp;usg=AOvVaw1HpeutGCX4ll12dUaxq_5J" TargetMode="External"/><Relationship Id="rId28" Type="http://schemas.openxmlformats.org/officeDocument/2006/relationships/hyperlink" Target="https://www.google.com/url?rct=j&amp;sa=t&amp;url=https://www.msn.com/en-us/news/us/hegseth-gutted-pentagon-office-that-said-it-would-oversee-testing-of-golden-dome-missile-defense-system/ar-AA1FOm1V&amp;ct=ga&amp;cd=CAIyHDMxNmE1OTNkZTEyZjQ2YTM6Y29tOmVuOlVTOlI&amp;usg=AOvVaw2Iv9-DtPk-gdgE13Q34Fx_" TargetMode="External"/><Relationship Id="rId36" Type="http://schemas.openxmlformats.org/officeDocument/2006/relationships/hyperlink" Target="https://www.google.com/url?rct=j&amp;sa=t&amp;url=https://www.fleetequipmentmag.com/mack-defense-prototype-medium-tactical-truck/&amp;ct=ga&amp;cd=CAIyGmEyZWM3MTRjMDNiY2Y1ZGI6Y29tOmVuOlVT&amp;usg=AOvVaw28SHe3ldsQZyURT4sSVH4a" TargetMode="External"/><Relationship Id="rId49" Type="http://schemas.openxmlformats.org/officeDocument/2006/relationships/hyperlink" Target="https://www.google.com/url?rct=j&amp;sa=t&amp;url=https://militarnyi.com/en/special-projects/the-pandur-8-8-evo-armored-personnel-carrier-and-the-cz-bren-3-assault-rifle-new-products-from-the-czech-defense-industry-to-be-showcased-at-idet-2025/&amp;ct=ga&amp;cd=CAIyGmEyZWM3MTRjMDNiY2Y1ZGI6Y29tOmVuOlVT&amp;usg=AOvVaw2S6Zs8ZVtseW9dKOkS5S2v" TargetMode="External"/><Relationship Id="rId57" Type="http://schemas.openxmlformats.org/officeDocument/2006/relationships/hyperlink" Target="https://www.google.com/url?rct=j&amp;sa=t&amp;url=https://www.bloomberg.com/news/articles/2025-07-10/fuji-media-shares-dip-after-company-floats-poison-pill-defense&amp;ct=ga&amp;cd=CAIyHDEzYWM2MTZjN2IyNDZmMjI6Y29tOmVuOlVTOlI&amp;usg=AOvVaw2rzQUUHA2A-cW9PPIZ9R_e" TargetMode="External"/><Relationship Id="rId106" Type="http://schemas.openxmlformats.org/officeDocument/2006/relationships/hyperlink" Target="https://www.google.com/url?rct=j&amp;sa=t&amp;url=https://en.trend.az/baltics/4063236.html&amp;ct=ga&amp;cd=CAIyGmEyZWM3MTRjMDNiY2Y1ZGI6Y29tOmVuOlVT&amp;usg=AOvVaw2UhaQ9l6J05cL9ILFrqu1K" TargetMode="External"/><Relationship Id="rId10" Type="http://schemas.openxmlformats.org/officeDocument/2006/relationships/hyperlink" Target="https://www.google.com/url?rct=j&amp;sa=t&amp;url=https://spacenews.com/rocket-lab-to-acquire-satellite-payload-manufacturer-geost-for-275-million/&amp;ct=ga&amp;cd=CAIyHDEzYWM2MTZjN2IyNDZmMjI6Y29tOmVuOlVTOlI&amp;usg=AOvVaw2i_CaPTtx88QAwzAVoq6Gy" TargetMode="External"/><Relationship Id="rId31" Type="http://schemas.openxmlformats.org/officeDocument/2006/relationships/hyperlink" Target="https://www.google.com/url?rct=j&amp;sa=t&amp;url=https://techcrunch.com/2025/05/31/space-forge-raises-30m-series-a-to-make-chip-materials-in-space/&amp;ct=ga&amp;cd=CAIyHDMxNmE1OTNkZTEyZjQ2YTM6Y29tOmVuOlVTOlI&amp;usg=AOvVaw1CE9bG8ZwHb7AOh_kA4Byf" TargetMode="External"/><Relationship Id="rId44" Type="http://schemas.openxmlformats.org/officeDocument/2006/relationships/hyperlink" Target="https://www.google.com/url?rct=j&amp;sa=t&amp;url=https://www.msn.com/en-gb/news/world/explosions-shake-oryol-region-important-defense-factory-hit-says-media/ar-AA1FbkZd&amp;ct=ga&amp;cd=CAIyGmEyZWM3MTRjMDNiY2Y1ZGI6Y29tOmVuOlVT&amp;usg=AOvVaw0modhKB5me0KLy_-PmsgOp" TargetMode="External"/><Relationship Id="rId52" Type="http://schemas.openxmlformats.org/officeDocument/2006/relationships/hyperlink" Target="https://www.google.com/url?rct=j&amp;sa=t&amp;url=https://breakingdefense.com/2025/05/rtx-deepens-footprint-in-uae-with-gallium-project-and-counter-drone-facility/&amp;ct=ga&amp;cd=CAIyGmEyZWM3MTRjMDNiY2Y1ZGI6Y29tOmVuOlVT&amp;usg=AOvVaw3F76Q9HRZHjujcjUTqQySi" TargetMode="External"/><Relationship Id="rId60" Type="http://schemas.openxmlformats.org/officeDocument/2006/relationships/hyperlink" Target="https://www.google.com/url?rct=j&amp;sa=t&amp;url=https://www.aoshearman.com/en/news/ao-shearman-advises-pai-partners-on-the-financing-of-its-acquisition-in-alvest-group&amp;ct=ga&amp;cd=CAIyHDEzYWM2MTZjN2IyNDZmMjI6Y29tOmVuOlVTOlI&amp;usg=AOvVaw2ubL50GWkiaO3tQkIPGnGd" TargetMode="External"/><Relationship Id="rId65" Type="http://schemas.openxmlformats.org/officeDocument/2006/relationships/hyperlink" Target="https://www.google.com/url?rct=j&amp;sa=t&amp;url=https://www.defenseworld.net/2025/07/05/apple-inc-nasdaqaapl-shares-acquired-by-davis-capital-management.html&amp;ct=ga&amp;cd=CAIyHDEzYWM2MTZjN2IyNDZmMjI6Y29tOmVuOlVTOlI&amp;usg=AOvVaw1oOPmmojcSRoWvQmp-s5WC" TargetMode="External"/><Relationship Id="rId73" Type="http://schemas.openxmlformats.org/officeDocument/2006/relationships/hyperlink" Target="https://www.google.com/url?rct=j&amp;sa=t&amp;url=https://www.ainvest.com/news/capitol-meridian-partners-raises-1-2-billion-defense-investments-2507/&amp;ct=ga&amp;cd=CAIyHDEzYWM2MTZjN2IyNDZmMjI6Y29tOmVuOlVTOlI&amp;usg=AOvVaw0NVFTjeGQ21tbJfiZq53Lx" TargetMode="External"/><Relationship Id="rId78" Type="http://schemas.openxmlformats.org/officeDocument/2006/relationships/hyperlink" Target="https://www.google.com/url?rct=j&amp;sa=t&amp;url=https://kansasreflector.com/2025/07/11/kansas-defense-attorney-says-states-child-protection-system-failed-murdered-5-year-old-girl/&amp;ct=ga&amp;cd=CAIyHDMxNmE1OTNkZTEyZjQ2YTM6Y29tOmVuOlVTOlI&amp;usg=AOvVaw2jEgBRPI5o9jt48Fdui0aG" TargetMode="External"/><Relationship Id="rId81" Type="http://schemas.openxmlformats.org/officeDocument/2006/relationships/hyperlink" Target="https://www.google.com/url?rct=j&amp;sa=t&amp;url=https://nationalinterest.org/blog/korea-watch/what-south-korea-can-learn-from-the-us-defense-tech-sector&amp;ct=ga&amp;cd=CAIyHDMxNmE1OTNkZTEyZjQ2YTM6Y29tOmVuOlVTOlI&amp;usg=AOvVaw1Iq5zL1Gb6JZ9CxkP6sAsm" TargetMode="External"/><Relationship Id="rId86" Type="http://schemas.openxmlformats.org/officeDocument/2006/relationships/hyperlink" Target="https://www.google.com/url?rct=j&amp;sa=t&amp;url=https://www.satellitetoday.com/finance/2025/07/11/varda-raises-187m-series-c-round-to-scale-medicine-development-in-space/&amp;ct=ga&amp;cd=CAIyHDMxNmE1OTNkZTEyZjQ2YTM6Y29tOmVuOlVTOlI&amp;usg=AOvVaw0_9hOKcJP3zSZCrStYBoQ2" TargetMode="External"/><Relationship Id="rId94" Type="http://schemas.openxmlformats.org/officeDocument/2006/relationships/hyperlink" Target="https://www.google.com/url?rct=j&amp;sa=t&amp;url=https://www.cleveland.com/news/2025/07/state-incentives-for-anduril-weapons-factory-near-columbus-swell-to-nearly-850-million.html&amp;ct=ga&amp;cd=CAIyGmEyZWM3MTRjMDNiY2Y1ZGI6Y29tOmVuOlVT&amp;usg=AOvVaw1NcgQqypw59x6M6841sew4" TargetMode="External"/><Relationship Id="rId99" Type="http://schemas.openxmlformats.org/officeDocument/2006/relationships/hyperlink" Target="https://www.google.com/url?rct=j&amp;sa=t&amp;url=https://www.reuters.com/business/healthcare-pharmaceuticals/cipla-talks-add-new-customers-its-china-factory-executive-says-2025-07-02/&amp;ct=ga&amp;cd=CAIyGmEyZWM3MTRjMDNiY2Y1ZGI6Y29tOmVuOlVT&amp;usg=AOvVaw2qq0fJTNKhhvismmgI4gGf" TargetMode="External"/><Relationship Id="rId101" Type="http://schemas.openxmlformats.org/officeDocument/2006/relationships/hyperlink" Target="https://www.google.com/url?rct=j&amp;sa=t&amp;url=https://www.kompas.id/artikel/en-sebentar-lagi-indonesia-bisa-mandiri-produksi-isian-munisi/amp&amp;ct=ga&amp;cd=CAIyGmEyZWM3MTRjMDNiY2Y1ZGI6Y29tOmVuOlVT&amp;usg=AOvVaw2yHKkuFgkp1o4cyBAiIevb" TargetMode="External"/><Relationship Id="rId4" Type="http://schemas.openxmlformats.org/officeDocument/2006/relationships/hyperlink" Target="https://www.google.com/url?rct=j&amp;sa=t&amp;url=https://www.csis.org/analysis/mobilizing-private-finance-clean-energy-transition-japans-green-transformation-and&amp;ct=ga&amp;cd=CAIyHDEzYWM2MTZjN2IyNDZmMjI6Y29tOmVuOlVTOlI&amp;usg=AOvVaw2V9mutdMd_iyxXBrUv7Blw" TargetMode="External"/><Relationship Id="rId9" Type="http://schemas.openxmlformats.org/officeDocument/2006/relationships/hyperlink" Target="https://www.google.com/url?rct=j&amp;sa=t&amp;url=https://www.iposcoop.com/the-ipo-buzz-2-spacs-championsgate-kochav-defense-raise-285-million/&amp;ct=ga&amp;cd=CAIyHDEzYWM2MTZjN2IyNDZmMjI6Y29tOmVuOlVTOlI&amp;usg=AOvVaw3ktx3oaQofrrOJgqruj7_m" TargetMode="External"/><Relationship Id="rId13" Type="http://schemas.openxmlformats.org/officeDocument/2006/relationships/hyperlink" Target="https://www.google.com/url?rct=j&amp;sa=t&amp;url=https://www.defenseworld.net/2025/05/24/49379-shares-in-compass-diversified-nysecodi-acquired-by-d-e-shaw-co-inc.html&amp;ct=ga&amp;cd=CAIyHDEzYWM2MTZjN2IyNDZmMjI6Y29tOmVuOlVTOlI&amp;usg=AOvVaw3mT_8CIkk9SHNgCgGcLySe" TargetMode="External"/><Relationship Id="rId18" Type="http://schemas.openxmlformats.org/officeDocument/2006/relationships/hyperlink" Target="https://www.google.com/url?rct=j&amp;sa=t&amp;url=https://www.businesswire.com/news/home/20250520499868/en/MKB-Builds-a-Stronger-Line-of-Defense-Against-Erosion-with-Addition-of-Silt-Saver&amp;ct=ga&amp;cd=CAIyHDEzYWM2MTZjN2IyNDZmMjI6Y29tOmVuOlVTOlI&amp;usg=AOvVaw10nndf5oE4kJES9jYhx6zo" TargetMode="External"/><Relationship Id="rId39" Type="http://schemas.openxmlformats.org/officeDocument/2006/relationships/hyperlink" Target="https://www.google.com/url?rct=j&amp;sa=t&amp;url=https://www.businessinsider.com/ukraine-official-says-china-supplying-russia-military-production-factories-weapons-2025-5&amp;ct=ga&amp;cd=CAIyGmEyZWM3MTRjMDNiY2Y1ZGI6Y29tOmVuOlVT&amp;usg=AOvVaw0y4f9MGmaqC5j56Hml5ugs" TargetMode="External"/><Relationship Id="rId109" Type="http://schemas.openxmlformats.org/officeDocument/2006/relationships/hyperlink" Target="https://www.google.com/url?rct=j&amp;sa=t&amp;url=https://www.indystar.com/picture-gallery/news/local/2025/06/24/sba-leader-kelly-loeffler-visits-indy-contract-manufacturer/84340433007/&amp;ct=ga&amp;cd=CAIyGmEyZWM3MTRjMDNiY2Y1ZGI6Y29tOmVuOlVT&amp;usg=AOvVaw1veZmHeZM0-62ZdhLBcUpA" TargetMode="External"/><Relationship Id="rId34" Type="http://schemas.openxmlformats.org/officeDocument/2006/relationships/hyperlink" Target="https://www.google.com/url?rct=j&amp;sa=t&amp;url=https://english.kyodonews.net/news/2025/05/699afb49138d-pentagon-chief-urges-asian-allies-to-invest-in-defense-to-deter-china.html%3Fphrase%3Dthe%2520shooting%2520death%2520of%2520a%2520south%2520korean%2520fisheries%2520official%2520by%2520the%2520north%2520korean%2520military%26words%3D&amp;ct=ga&amp;cd=CAIyHDMxNmE1OTNkZTEyZjQ2YTM6Y29tOmVuOlVTOlI&amp;usg=AOvVaw1WA5my9mKlAxScvIexrDun" TargetMode="External"/><Relationship Id="rId50" Type="http://schemas.openxmlformats.org/officeDocument/2006/relationships/hyperlink" Target="https://www.google.com/url?rct=j&amp;sa=t&amp;url=https://www.gpsworld.com/vatn-systems-unveils-new-auv-torpedo-product-line-and-manufacturing-facility/&amp;ct=ga&amp;cd=CAIyGmEyZWM3MTRjMDNiY2Y1ZGI6Y29tOmVuOlVT&amp;usg=AOvVaw14uR1ElMnOOz56hKCg3jPD" TargetMode="External"/><Relationship Id="rId55" Type="http://schemas.openxmlformats.org/officeDocument/2006/relationships/hyperlink" Target="https://www.google.com/url?rct=j&amp;sa=t&amp;url=https://www.washingtontechnology.com/companies/2025/07/sales-defense-and-tech-leadership-roles-across-market/406663/%3Foref%3Dwt-homepage-river&amp;ct=ga&amp;cd=CAIyHDEzYWM2MTZjN2IyNDZmMjI6Y29tOmVuOlVTOlI&amp;usg=AOvVaw0B-E3-lv9Ley2c7VdyNgFp" TargetMode="External"/><Relationship Id="rId76" Type="http://schemas.openxmlformats.org/officeDocument/2006/relationships/hyperlink" Target="https://www.google.com/url?rct=j&amp;sa=t&amp;url=https://www.renaissancecapital.com/IPO-Center/News/112094/US-IPO-Week-Ahead-2-miners-tap-the-US-IPO-market&amp;ct=ga&amp;cd=CAIyHDMxNmE1OTNkZTEyZjQ2YTM6Y29tOmVuOlVTOlI&amp;usg=AOvVaw1VetzN3fAxpWFxKvsm3PEK" TargetMode="External"/><Relationship Id="rId97" Type="http://schemas.openxmlformats.org/officeDocument/2006/relationships/hyperlink" Target="https://www.google.com/url?rct=j&amp;sa=t&amp;url=https://www.nytimes.com/2025/07/04/business/rheinmetall-germany-fighter-jets.html&amp;ct=ga&amp;cd=CAIyGmEyZWM3MTRjMDNiY2Y1ZGI6Y29tOmVuOlVT&amp;usg=AOvVaw12DcofiNV4jezDiw8PatDQ" TargetMode="External"/><Relationship Id="rId104" Type="http://schemas.openxmlformats.org/officeDocument/2006/relationships/hyperlink" Target="https://www.google.com/url?rct=j&amp;sa=t&amp;url=https://www.wkbw.com/news/local-news/southtowns/moog-celebrates-major-expansion-in-east-aurora-to-enhance-space-and-defense-manufacturing&amp;ct=ga&amp;cd=CAIyGmEyZWM3MTRjMDNiY2Y1ZGI6Y29tOmVuOlVT&amp;usg=AOvVaw1UpwK-qgRfFNil1MM09g_C" TargetMode="External"/><Relationship Id="rId7" Type="http://schemas.openxmlformats.org/officeDocument/2006/relationships/hyperlink" Target="https://www.google.com/url?rct=j&amp;sa=t&amp;url=https://usaherald.com/defense-focused-spac-leads-pair-of-listings-totaling-285m/&amp;ct=ga&amp;cd=CAIyHDEzYWM2MTZjN2IyNDZmMjI6Y29tOmVuOlVTOlI&amp;usg=AOvVaw1Z8kAZfX5-wJ2wXjIuyItQ" TargetMode="External"/><Relationship Id="rId71" Type="http://schemas.openxmlformats.org/officeDocument/2006/relationships/hyperlink" Target="https://www.google.com/url?rct=j&amp;sa=t&amp;url=https://finance.yahoo.com/news/private-equity-firm-capitol-meridian-100000767.html&amp;ct=ga&amp;cd=CAIyHDEzYWM2MTZjN2IyNDZmMjI6Y29tOmVuOlVTOlI&amp;usg=AOvVaw0TJCtxWDpNRGf03dsugPCO" TargetMode="External"/><Relationship Id="rId92" Type="http://schemas.openxmlformats.org/officeDocument/2006/relationships/hyperlink" Target="https://www.google.com/url?rct=j&amp;sa=t&amp;url=https://www.manilatimes.net/2025/07/12/world/asia-oceania/skorea-japan-us-urge-nkorea-to-stop-threats/2147872&amp;ct=ga&amp;cd=CAIyHDMxNmE1OTNkZTEyZjQ2YTM6Y29tOmVuOlVTOlI&amp;usg=AOvVaw12465u6308lUfAKi50emPL" TargetMode="External"/><Relationship Id="rId2" Type="http://schemas.openxmlformats.org/officeDocument/2006/relationships/hyperlink" Target="https://www.google.com/url?rct=j&amp;sa=t&amp;url=https://www.defenseworld.net/2025/05/31/molten-ventures-otcmktsgrwxf-trading-up-26-9-still-a-buy.html&amp;ct=ga&amp;cd=CAIyHDEzYWM2MTZjN2IyNDZmMjI6Y29tOmVuOlVTOlI&amp;usg=AOvVaw2hYWlho1wyk8tmwC3r_DaC" TargetMode="External"/><Relationship Id="rId29" Type="http://schemas.openxmlformats.org/officeDocument/2006/relationships/hyperlink" Target="https://www.google.com/url?rct=j&amp;sa=t&amp;url=https://www.defenseworld.net/2025/05/31/ameriprise-financial-inc-sells-20297-shares-of-summit-hotel-properties-inc-nyseinn.html&amp;ct=ga&amp;cd=CAIyHDMxNmE1OTNkZTEyZjQ2YTM6Y29tOmVuOlVTOlI&amp;usg=AOvVaw3Dr9Hq-KneR8ZsKa2ufSWg" TargetMode="External"/><Relationship Id="rId24" Type="http://schemas.openxmlformats.org/officeDocument/2006/relationships/hyperlink" Target="https://www.google.com/url?rct=j&amp;sa=t&amp;url=https://myfox8.com/news/international/ap-international/ap-top-defense-officials-say-ukraine-war-has-blurred-lines-exposing-global-threats/&amp;ct=ga&amp;cd=CAIyHDMxNmE1OTNkZTEyZjQ2YTM6Y29tOmVuOlVTOlI&amp;usg=AOvVaw1DXmn6NsKyjBbKBssWJArK" TargetMode="External"/><Relationship Id="rId40" Type="http://schemas.openxmlformats.org/officeDocument/2006/relationships/hyperlink" Target="https://www.google.com/url?rct=j&amp;sa=t&amp;url=https://kyivindependent.com/china-denies-ukraines-allegations-of-supplying-weapons-defense-industry-components-to-russia/&amp;ct=ga&amp;cd=CAIyGmEyZWM3MTRjMDNiY2Y1ZGI6Y29tOmVuOlVT&amp;usg=AOvVaw1phcSR_QFYVfLboWSgIJQT" TargetMode="External"/><Relationship Id="rId45" Type="http://schemas.openxmlformats.org/officeDocument/2006/relationships/hyperlink" Target="https://www.google.com/url?rct=j&amp;sa=t&amp;url=https://biz.chosun.com/en/en-industry/2025/05/24/YFK6N6DZVNFSDOLQSKJ5HLNKKA/&amp;ct=ga&amp;cd=CAIyGmEyZWM3MTRjMDNiY2Y1ZGI6Y29tOmVuOlVT&amp;usg=AOvVaw2toX6AqdQEO0rLGZ3mFIXK" TargetMode="External"/><Relationship Id="rId66" Type="http://schemas.openxmlformats.org/officeDocument/2006/relationships/hyperlink" Target="https://www.google.com/url?rct=j&amp;sa=t&amp;url=https://www.lexology.com/library/detail.aspx%3Fg%3Daf12eda3-fc4c-4218-a8d7-e0bc38fc3b2c&amp;ct=ga&amp;cd=CAIyHDEzYWM2MTZjN2IyNDZmMjI6Y29tOmVuOlVTOlI&amp;usg=AOvVaw0uyZKyU4B4K-gsNl9AgWMA" TargetMode="External"/><Relationship Id="rId87" Type="http://schemas.openxmlformats.org/officeDocument/2006/relationships/hyperlink" Target="https://www.google.com/url?rct=j&amp;sa=t&amp;url=https://techcrunch.com/2025/07/10/how-to-actually-raise-a-seed-round-actionable-advice-from-top-investors-at-techcrunch-disrupt-2025-on-july-15/&amp;ct=ga&amp;cd=CAIyHDMxNmE1OTNkZTEyZjQ2YTM6Y29tOmVuOlVTOlI&amp;usg=AOvVaw0pPV_5B43_QnGacFTLyOmF" TargetMode="External"/><Relationship Id="rId110" Type="http://schemas.openxmlformats.org/officeDocument/2006/relationships/hyperlink" Target="https://www.google.com/url?rct=j&amp;sa=t&amp;url=https://www.nytimes.com/2025/06/22/business/europe-nato-defense-spending.html&amp;ct=ga&amp;cd=CAIyGmEyZWM3MTRjMDNiY2Y1ZGI6Y29tOmVuOlVT&amp;usg=AOvVaw3D_N5vcnQvYhDoIdi2FTxC" TargetMode="External"/><Relationship Id="rId61" Type="http://schemas.openxmlformats.org/officeDocument/2006/relationships/hyperlink" Target="https://www.google.com/url?rct=j&amp;sa=t&amp;url=https://www.aoshearman.com/en/insights/global-ma-insights/rising-geopolitical-tensions-ignite-european-defense-ma&amp;ct=ga&amp;cd=CAIyHDEzYWM2MTZjN2IyNDZmMjI6Y29tOmVuOlVTOlI&amp;usg=AOvVaw2EWniF1SV0K92P-qlDLkpC" TargetMode="External"/><Relationship Id="rId82" Type="http://schemas.openxmlformats.org/officeDocument/2006/relationships/hyperlink" Target="https://www.google.com/url?rct=j&amp;sa=t&amp;url=https://www.cato.org/blog/dash-cash-what-do-about-crowdfunding&amp;ct=ga&amp;cd=CAIyHDMxNmE1OTNkZTEyZjQ2YTM6Y29tOmVuOlVTOlI&amp;usg=AOvVaw26jqXJERSeYta8YPj_Gj11" TargetMode="External"/><Relationship Id="rId19" Type="http://schemas.openxmlformats.org/officeDocument/2006/relationships/hyperlink" Target="https://www.google.com/url?rct=j&amp;sa=t&amp;url=https://www.marketbeat.com/instant-alerts/filing-mirador-capital-partners-lp-raises-stock-position-in-costco-wholesale-co-nasdaqcost-2025-06-01/&amp;ct=ga&amp;cd=CAIyHDMxNmE1OTNkZTEyZjQ2YTM6Y29tOmVuOlVTOlI&amp;usg=AOvVaw3MHVE3Osk2wKwqtbCF25vG" TargetMode="External"/><Relationship Id="rId14" Type="http://schemas.openxmlformats.org/officeDocument/2006/relationships/hyperlink" Target="https://www.google.com/url?rct=j&amp;sa=t&amp;url=https://www.defenseworld.net/2025/05/24/ct-private-equity-trust-lonctpe-trading-up-1-heres-why.html&amp;ct=ga&amp;cd=CAIyHDEzYWM2MTZjN2IyNDZmMjI6Y29tOmVuOlVTOlI&amp;usg=AOvVaw106jDfPcCP-BWSz7BtAbBD" TargetMode="External"/><Relationship Id="rId30" Type="http://schemas.openxmlformats.org/officeDocument/2006/relationships/hyperlink" Target="https://www.google.com/url?rct=j&amp;sa=t&amp;url=https://www.marketbeat.com/instant-alerts/bmo-capital-markets-raises-zscaler-nasdaqzs-price-target-to-29500-2025-05-30/&amp;ct=ga&amp;cd=CAIyHDMxNmE1OTNkZTEyZjQ2YTM6Y29tOmVuOlVTOlI&amp;usg=AOvVaw18rTdiqQ6gtkdhV9rsqAR4" TargetMode="External"/><Relationship Id="rId35" Type="http://schemas.openxmlformats.org/officeDocument/2006/relationships/hyperlink" Target="https://www.google.com/url?rct=j&amp;sa=t&amp;url=https://www.reuters.com/business/aerospace-defense/britain-plans-least-six-new-weapons-factories-defence-review-2025-05-31/&amp;ct=ga&amp;cd=CAIyGmEyZWM3MTRjMDNiY2Y1ZGI6Y29tOmVuOlVT&amp;usg=AOvVaw2k2P4YjKLCYe055vPoNmrb" TargetMode="External"/><Relationship Id="rId56" Type="http://schemas.openxmlformats.org/officeDocument/2006/relationships/hyperlink" Target="https://www.google.com/url?rct=j&amp;sa=t&amp;url=https://www.ainvest.com/news/state-department-restructuring-boon-defense-contractors-private-diplomacy-firms-2507/&amp;ct=ga&amp;cd=CAIyHDEzYWM2MTZjN2IyNDZmMjI6Y29tOmVuOlVTOlI&amp;usg=AOvVaw1vv-h9tqSNiOAZdq1lRPOy" TargetMode="External"/><Relationship Id="rId77" Type="http://schemas.openxmlformats.org/officeDocument/2006/relationships/hyperlink" Target="https://www.google.com/url?rct=j&amp;sa=t&amp;url=https://www.thesaasnews.com/news/knox-raises-6-5-million-in-seed-round&amp;ct=ga&amp;cd=CAIyHDMxNmE1OTNkZTEyZjQ2YTM6Y29tOmVuOlVTOlI&amp;usg=AOvVaw2qwDdGyE1nPl-6YqqtWYZU" TargetMode="External"/><Relationship Id="rId100" Type="http://schemas.openxmlformats.org/officeDocument/2006/relationships/hyperlink" Target="https://www.google.com/url?rct=j&amp;sa=t&amp;url=https://www.mckinsey.com/industries/aerospace-and-defense/our-insights/investing-in-the-manufacturing-workforce-to-accelerate-productivity&amp;ct=ga&amp;cd=CAIyGmEyZWM3MTRjMDNiY2Y1ZGI6Y29tOmVuOlVT&amp;usg=AOvVaw2UjgTY-LSQ2UKri8ziaczg" TargetMode="External"/><Relationship Id="rId105" Type="http://schemas.openxmlformats.org/officeDocument/2006/relationships/hyperlink" Target="https://www.google.com/url?rct=j&amp;sa=t&amp;url=https://www.indianchemicalnews.com/general/syensqo-and-terma-ink-agreement-for-defense-composite-component-manufacturing-26633&amp;ct=ga&amp;cd=CAIyGmEyZWM3MTRjMDNiY2Y1ZGI6Y29tOmVuOlVT&amp;usg=AOvVaw0kqqsE1-ah2ozXOmyzBGAZ" TargetMode="External"/><Relationship Id="rId8" Type="http://schemas.openxmlformats.org/officeDocument/2006/relationships/hyperlink" Target="https://www.google.com/url?rct=j&amp;sa=t&amp;url=https://www.law360.com/articles/2345921/defense-focused-spac-leads-pair-of-listings-totaling-285m&amp;ct=ga&amp;cd=CAIyHDEzYWM2MTZjN2IyNDZmMjI6Y29tOmVuOlVTOlI&amp;usg=AOvVaw0e8O_bkTfWWo_62HJvWZ9r" TargetMode="External"/><Relationship Id="rId51" Type="http://schemas.openxmlformats.org/officeDocument/2006/relationships/hyperlink" Target="https://www.google.com/url?rct=j&amp;sa=t&amp;url=https://newsukraine.rbc.ua/news/denmark-provides-ukraine-with-new-military-1747535239.html&amp;ct=ga&amp;cd=CAIyGmEyZWM3MTRjMDNiY2Y1ZGI6Y29tOmVuOlVT&amp;usg=AOvVaw0T5IsSrtLiXWOwJpOVhOoZ" TargetMode="External"/><Relationship Id="rId72" Type="http://schemas.openxmlformats.org/officeDocument/2006/relationships/hyperlink" Target="https://www.google.com/url?rct=j&amp;sa=t&amp;url=https://www.alternativeswatch.com/2025/07/03/odyssey-sells-applied-technical-services-for-1-3bn/&amp;ct=ga&amp;cd=CAIyHDEzYWM2MTZjN2IyNDZmMjI6Y29tOmVuOlVTOlI&amp;usg=AOvVaw0UCcksxZe2EfL4Bs3rVhpx" TargetMode="External"/><Relationship Id="rId93" Type="http://schemas.openxmlformats.org/officeDocument/2006/relationships/hyperlink" Target="https://www.google.com/url?rct=j&amp;sa=t&amp;url=https://www.mining.com/orezone-seeks-a75m-capital-raise-in-australia-ipo/&amp;ct=ga&amp;cd=CAIyHDMxNmE1OTNkZTEyZjQ2YTM6Y29tOmVuOlVTOlI&amp;usg=AOvVaw2MhXxDB17l3I3wqyh3mi-l" TargetMode="External"/><Relationship Id="rId98" Type="http://schemas.openxmlformats.org/officeDocument/2006/relationships/hyperlink" Target="https://www.google.com/url?rct=j&amp;sa=t&amp;url=https://www.reuters.com/business/aerospace-defense/us-factory-orders-rebound-may-strong-aircraft-demand-2025-07-03/&amp;ct=ga&amp;cd=CAIyGmEyZWM3MTRjMDNiY2Y1ZGI6Y29tOmVuOlVT&amp;usg=AOvVaw0Zm7HjPGw0M9icbRyGB9lp" TargetMode="External"/><Relationship Id="rId3" Type="http://schemas.openxmlformats.org/officeDocument/2006/relationships/hyperlink" Target="https://www.google.com/url?rct=j&amp;sa=t&amp;url=https://www.defenseworld.net/2025/05/30/cetera-investment-advisers-acquires-2141-shares-of-crescent-capital-bdc-inc-nasdaqccap.html&amp;ct=ga&amp;cd=CAIyHDEzYWM2MTZjN2IyNDZmMjI6Y29tOmVuOlVTOlI&amp;usg=AOvVaw0DX-BB_EBm4bZW9hRHZYjD" TargetMode="External"/><Relationship Id="rId25" Type="http://schemas.openxmlformats.org/officeDocument/2006/relationships/hyperlink" Target="https://www.google.com/url?rct=j&amp;sa=t&amp;url=https://www.forbes.com/sites/michellembekeani/2025/05/31/raising-capital-raising-defenses-turning-endowments-into-legal-lifelines/&amp;ct=ga&amp;cd=CAIyHDMxNmE1OTNkZTEyZjQ2YTM6Y29tOmVuOlVTOlI&amp;usg=AOvVaw0yxNQBzDqLVM4ZhKiM_KSz" TargetMode="External"/><Relationship Id="rId46" Type="http://schemas.openxmlformats.org/officeDocument/2006/relationships/hyperlink" Target="https://www.google.com/url?rct=j&amp;sa=t&amp;url=https://www.morningstar.com/news/business-wire/20250522054552/l3harris-marks-major-milestone-for-new-solid-rocket-motor-factories-of-the-future-in-virginia&amp;ct=ga&amp;cd=CAIyGmEyZWM3MTRjMDNiY2Y1ZGI6Y29tOmVuOlVT&amp;usg=AOvVaw2V-LmWfOpkg5Ha4NAkvAF_" TargetMode="External"/><Relationship Id="rId67" Type="http://schemas.openxmlformats.org/officeDocument/2006/relationships/hyperlink" Target="https://www.google.com/url?rct=j&amp;sa=t&amp;url=https://www.defenseworld.net/2025/07/04/oppenheimer-co-inc-makes-new-investment-in-ershares-private-public-crossover-etf-nasdaqxovr.html&amp;ct=ga&amp;cd=CAIyHDEzYWM2MTZjN2IyNDZmMjI6Y29tOmVuOlVTOlI&amp;usg=AOvVaw1dkiPqy-adDPjjYyNFYkZf" TargetMode="External"/><Relationship Id="rId20" Type="http://schemas.openxmlformats.org/officeDocument/2006/relationships/hyperlink" Target="https://www.google.com/url?rct=j&amp;sa=t&amp;url=https://www.foxnews.com/us/karen-read-sells-home-taps-retirement-fund-pay-mounting-legal-bills-murder-retrial&amp;ct=ga&amp;cd=CAIyHDMxNmE1OTNkZTEyZjQ2YTM6Y29tOmVuOlVTOlI&amp;usg=AOvVaw2by_cXT1ohzN8bl6U6HGMn" TargetMode="External"/><Relationship Id="rId41" Type="http://schemas.openxmlformats.org/officeDocument/2006/relationships/hyperlink" Target="https://www.google.com/url?rct=j&amp;sa=t&amp;url=https://www.airandspaceforces.com/mitre-we-still-have-work-to-do-to-attract-new-defense-contractors/&amp;ct=ga&amp;cd=CAIyGmEyZWM3MTRjMDNiY2Y1ZGI6Y29tOmVuOlVT&amp;usg=AOvVaw1VHaUdzOM5trrcMDD6lRCL" TargetMode="External"/><Relationship Id="rId62" Type="http://schemas.openxmlformats.org/officeDocument/2006/relationships/hyperlink" Target="https://www.google.com/url?rct=j&amp;sa=t&amp;url=https://www.defenseworld.net/2025/07/08/copart-inc-nasdaqcprt-shares-acquired-by-private-trust-co-na.html&amp;ct=ga&amp;cd=CAIyHDEzYWM2MTZjN2IyNDZmMjI6Y29tOmVuOlVTOlI&amp;usg=AOvVaw0kbiLpBIKrxWDLM_xUbVrS" TargetMode="External"/><Relationship Id="rId83" Type="http://schemas.openxmlformats.org/officeDocument/2006/relationships/hyperlink" Target="https://www.google.com/url?rct=j&amp;sa=t&amp;url=https://inc42.com/buzz/vcs-to-double-down-on-indian-ai-defence-tech-startup-investments-in-h2-2025/&amp;ct=ga&amp;cd=CAIyHDMxNmE1OTNkZTEyZjQ2YTM6Y29tOmVuOlVTOlI&amp;usg=AOvVaw1r7bKYw5BbsN7mbvsyjb82" TargetMode="External"/><Relationship Id="rId88" Type="http://schemas.openxmlformats.org/officeDocument/2006/relationships/hyperlink" Target="https://www.google.com/url?rct=j&amp;sa=t&amp;url=https://finance.yahoo.com/news/global-ai-defense-challenge-2025-022900189.html&amp;ct=ga&amp;cd=CAIyHDMxNmE1OTNkZTEyZjQ2YTM6Y29tOmVuOlVTOlI&amp;usg=AOvVaw2MmBXCtjeXUMFdIYXUQlIk" TargetMode="External"/><Relationship Id="rId111" Type="http://schemas.openxmlformats.org/officeDocument/2006/relationships/hyperlink" Target="https://www.google.com/url?rct=j&amp;sa=t&amp;url=https://www.vietnam.vn/en/nang-luc-san-xuat-vu-khi-dan-duoc-o-nha-may-z114&amp;ct=ga&amp;cd=CAIyGmEyZWM3MTRjMDNiY2Y1ZGI6Y29tOmVuOlVT&amp;usg=AOvVaw1ax6dFd-IZXc4ppWoso-p_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3"/>
  <sheetViews>
    <sheetView workbookViewId="0"/>
  </sheetViews>
  <sheetFormatPr baseColWidth="10" defaultColWidth="12.6640625" defaultRowHeight="15.75" customHeight="1" x14ac:dyDescent="0.15"/>
  <cols>
    <col min="1" max="1" width="22.6640625" customWidth="1"/>
    <col min="2" max="2" width="18" customWidth="1"/>
    <col min="3" max="3" width="25" customWidth="1"/>
  </cols>
  <sheetData>
    <row r="1" spans="1:1" ht="15.75" customHeight="1" x14ac:dyDescent="0.15">
      <c r="A1" s="1" t="s">
        <v>0</v>
      </c>
    </row>
    <row r="2" spans="1:1" ht="15.75" customHeight="1" x14ac:dyDescent="0.15">
      <c r="A2" s="1" t="s">
        <v>1</v>
      </c>
    </row>
    <row r="3" spans="1:1" ht="15.75" customHeight="1" x14ac:dyDescent="0.15">
      <c r="A3" s="1" t="s">
        <v>2</v>
      </c>
    </row>
  </sheetData>
  <hyperlinks>
    <hyperlink ref="A1" r:id="rId1" xr:uid="{00000000-0004-0000-0000-000000000000}"/>
    <hyperlink ref="A2" r:id="rId2" xr:uid="{00000000-0004-0000-0000-000001000000}"/>
    <hyperlink ref="A3" r:id="rId3" xr:uid="{00000000-0004-0000-0000-00000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36"/>
  <sheetViews>
    <sheetView topLeftCell="A13" zoomScale="150" workbookViewId="0">
      <selection activeCell="A32" sqref="A32:XFD32"/>
    </sheetView>
  </sheetViews>
  <sheetFormatPr baseColWidth="10" defaultColWidth="12.6640625" defaultRowHeight="15.75" customHeight="1" x14ac:dyDescent="0.15"/>
  <cols>
    <col min="1" max="1" width="72.5" customWidth="1"/>
    <col min="2" max="2" width="18" customWidth="1"/>
    <col min="3" max="3" width="25" customWidth="1"/>
    <col min="4" max="4" width="24.5" customWidth="1"/>
  </cols>
  <sheetData>
    <row r="1" spans="1:4" ht="15.75" customHeight="1" x14ac:dyDescent="0.15">
      <c r="A1" s="2" t="str">
        <f ca="1">IFERROR(__xludf.DUMMYFUNCTION("{
  ARRAY_CONSTRAIN(IMPORTFEED(GA_Feeds!A1, ""items"", TRUE), 200, 4) ;
  ARRAY_CONSTRAIN(IMPORTFEED(GA_Feeds!A2, ""items"", TRUE), 200, 4) ;
  ARRAY_CONSTRAIN(IMPORTFEED(GA_Feeds!A3, ""items"", TRUE), 200, 4)
}
"),"Title")</f>
        <v>Title</v>
      </c>
      <c r="B1" s="3" t="str">
        <f ca="1">IFERROR(__xludf.DUMMYFUNCTION("""COMPUTED_VALUE"""),"URL")</f>
        <v>URL</v>
      </c>
      <c r="C1" s="3" t="str">
        <f ca="1">IFERROR(__xludf.DUMMYFUNCTION("""COMPUTED_VALUE"""),"Date Created")</f>
        <v>Date Created</v>
      </c>
      <c r="D1" s="3" t="str">
        <f ca="1">IFERROR(__xludf.DUMMYFUNCTION("""COMPUTED_VALUE"""),"Summary")</f>
        <v>Summary</v>
      </c>
    </row>
    <row r="2" spans="1:4" ht="15.75" customHeight="1" x14ac:dyDescent="0.15">
      <c r="A2" s="3" t="str">
        <f ca="1">IFERROR(__xludf.DUMMYFUNCTION("""COMPUTED_VALUE"""),"BBK &lt;b&gt;Capital&lt;/b&gt; Partners with Arkview &lt;b&gt;Capital&lt;/b&gt; in Support of NEOTech &lt;b&gt;Acquisition&lt;/b&gt; - Le Lézard")</f>
        <v>BBK &lt;b&gt;Capital&lt;/b&gt; Partners with Arkview &lt;b&gt;Capital&lt;/b&gt; in Support of NEOTech &lt;b&gt;Acquisition&lt;/b&gt; - Le Lézard</v>
      </c>
      <c r="B2" s="4" t="str">
        <f ca="1">IFERROR(__xludf.DUMMYFUNCTION("""COMPUTED_VALUE"""),"https://www.google.com/url?rct=j&amp;sa=t&amp;url=https://www.lelezard.com/en/news-22065344.html&amp;ct=ga&amp;cd=CAIyHDEzYWM2MTZjN2IyNDZmMjI6Y29tOmVuOlVTOlI&amp;usg=AOvVaw0bDyXevXeNCNyO7Hg09nfV")</f>
        <v>https://www.google.com/url?rct=j&amp;sa=t&amp;url=https://www.lelezard.com/en/news-22065344.html&amp;ct=ga&amp;cd=CAIyHDEzYWM2MTZjN2IyNDZmMjI6Y29tOmVuOlVTOlI&amp;usg=AOvVaw0bDyXevXeNCNyO7Hg09nfV</v>
      </c>
      <c r="C2" s="3" t="str">
        <f ca="1">IFERROR(__xludf.DUMMYFUNCTION("""COMPUTED_VALUE"""),"2026-01-02T18:27:26Z")</f>
        <v>2026-01-02T18:27:26Z</v>
      </c>
      <c r="D2" s="3" t="str">
        <f ca="1">IFERROR(__xludf.DUMMYFUNCTION("""COMPUTED_VALUE"""),"... *defense*, aerospace, medical, industrial, and advanced ... Arkview 
Capital is a *private equity* firm based in Stamford, Connecticut ...")</f>
        <v>... *defense*, aerospace, medical, industrial, and advanced ... Arkview 
Capital is a *private equity* firm based in Stamford, Connecticut ...</v>
      </c>
    </row>
    <row r="3" spans="1:4" ht="15.75" customHeight="1" x14ac:dyDescent="0.15">
      <c r="A3" s="3" t="str">
        <f ca="1">IFERROR(__xludf.DUMMYFUNCTION("""COMPUTED_VALUE"""),"McNally &lt;b&gt;Capital&lt;/b&gt; Acquires PT6A MRO Specialist ATS - ePlaneAI")</f>
        <v>McNally &lt;b&gt;Capital&lt;/b&gt; Acquires PT6A MRO Specialist ATS - ePlaneAI</v>
      </c>
      <c r="B3" s="4" t="str">
        <f ca="1">IFERROR(__xludf.DUMMYFUNCTION("""COMPUTED_VALUE"""),"https://www.google.com/url?rct=j&amp;sa=t&amp;url=https://www.eplaneai.com/zh/news/mcnally-capital-acquires-pt6a-mro-specialist-ats&amp;ct=ga&amp;cd=CAIyHDEzYWM2MTZjN2IyNDZmMjI6Y29tOmVuOlVTOlI&amp;usg=AOvVaw10rKGZ2kXSNYDNwXc_xHmp")</f>
        <v>https://www.google.com/url?rct=j&amp;sa=t&amp;url=https://www.eplaneai.com/zh/news/mcnally-capital-acquires-pt6a-mro-specialist-ats&amp;ct=ga&amp;cd=CAIyHDEzYWM2MTZjN2IyNDZmMjI6Y29tOmVuOlVTOlI&amp;usg=AOvVaw10rKGZ2kXSNYDNwXc_xHmp</v>
      </c>
      <c r="C3" s="3" t="str">
        <f ca="1">IFERROR(__xludf.DUMMYFUNCTION("""COMPUTED_VALUE"""),"2026-01-02T14:02:56Z")</f>
        <v>2026-01-02T14:02:56Z</v>
      </c>
      <c r="D3" s="3" t="str">
        <f ca="1">IFERROR(__xludf.DUMMYFUNCTION("""COMPUTED_VALUE"""),"... *Acquisition* of ATS McNally Capital, a *private equity* ... McNally 
Capital, a *private equity* firm specializing in mid-market aerospace, 
*defense* ...")</f>
        <v>... *Acquisition* of ATS McNally Capital, a *private equity* ... McNally 
Capital, a *private equity* firm specializing in mid-market aerospace, 
*defense* ...</v>
      </c>
    </row>
    <row r="4" spans="1:4" ht="15.75" customHeight="1" x14ac:dyDescent="0.15">
      <c r="A4" s="3" t="str">
        <f ca="1">IFERROR(__xludf.DUMMYFUNCTION("""COMPUTED_VALUE"""),"McNally &lt;b&gt;Capital&lt;/b&gt; Makes Strategic &lt;b&gt;Investment&lt;/b&gt; in Airforce Turbine Service, a Leading Global ...")</f>
        <v>McNally &lt;b&gt;Capital&lt;/b&gt; Makes Strategic &lt;b&gt;Investment&lt;/b&gt; in Airforce Turbine Service, a Leading Global ...</v>
      </c>
      <c r="B4" s="4" t="str">
        <f ca="1">IFERROR(__xludf.DUMMYFUNCTION("""COMPUTED_VALUE"""),"https://www.google.com/url?rct=j&amp;sa=t&amp;url=https://www.businesswire.com/news/home/20251218293092/en/McNally-Capital-Makes-Strategic-Investment-in-Airforce-Turbine-Service-a-Leading-Global-Aviation-Services-Company&amp;ct=ga&amp;cd=CAIyHDEzYWM2MTZjN2IyNDZmMjI6Y29tO"&amp;"mVuOlVTOlI&amp;usg=AOvVaw3H6r3r77PFy9eXSAyksyng")</f>
        <v>https://www.google.com/url?rct=j&amp;sa=t&amp;url=https://www.businesswire.com/news/home/20251218293092/en/McNally-Capital-Makes-Strategic-Investment-in-Airforce-Turbine-Service-a-Leading-Global-Aviation-Services-Company&amp;ct=ga&amp;cd=CAIyHDEzYWM2MTZjN2IyNDZmMjI6Y29tOmVuOlVTOlI&amp;usg=AOvVaw3H6r3r77PFy9eXSAyksyng</v>
      </c>
      <c r="C4" s="3" t="str">
        <f ca="1">IFERROR(__xludf.DUMMYFUNCTION("""COMPUTED_VALUE"""),"2025-12-18T14:47:43Z")</f>
        <v>2025-12-18T14:47:43Z</v>
      </c>
      <c r="D4" s="3" t="str">
        <f ca="1">IFERROR(__xludf.DUMMYFUNCTION("""COMPUTED_VALUE"""),"CHICAGO--(BUSINESS WIRE)--McNally Capital (“McNally”), a growth-oriented *private 
equity* firm specializing in middle market aerospace &amp; *defense* and ...")</f>
        <v>CHICAGO--(BUSINESS WIRE)--McNally Capital (“McNally”), a growth-oriented *private 
equity* firm specializing in middle market aerospace &amp; *defense* and ...</v>
      </c>
    </row>
    <row r="5" spans="1:4" ht="15.75" customHeight="1" x14ac:dyDescent="0.15">
      <c r="A5" s="3" t="str">
        <f ca="1">IFERROR(__xludf.DUMMYFUNCTION("""COMPUTED_VALUE"""),"Vantage Group Holdings to be acquired by Howard Hughes for $2.1B | CG Stock News")</f>
        <v>Vantage Group Holdings to be acquired by Howard Hughes for $2.1B | CG Stock News</v>
      </c>
      <c r="B5" s="4" t="str">
        <f ca="1">IFERROR(__xludf.DUMMYFUNCTION("""COMPUTED_VALUE"""),"https://www.google.com/url?rct=j&amp;sa=t&amp;url=https://www.stocktitan.net/news/CG/vantage-group-holdings-to-be-acquired-by-howard-hughes-4uwvrcm6be9e.html&amp;ct=ga&amp;cd=CAIyHDEzYWM2MTZjN2IyNDZmMjI6Y29tOmVuOlVTOlI&amp;usg=AOvVaw2x-u8v5L44LhbGzoUP-lNe")</f>
        <v>https://www.google.com/url?rct=j&amp;sa=t&amp;url=https://www.stocktitan.net/news/CG/vantage-group-holdings-to-be-acquired-by-howard-hughes-4uwvrcm6be9e.html&amp;ct=ga&amp;cd=CAIyHDEzYWM2MTZjN2IyNDZmMjI6Y29tOmVuOlVTOlI&amp;usg=AOvVaw2x-u8v5L44LhbGzoUP-lNe</v>
      </c>
      <c r="C5" s="3" t="str">
        <f ca="1">IFERROR(__xludf.DUMMYFUNCTION("""COMPUTED_VALUE"""),"2025-12-18T11:20:47Z")</f>
        <v>2025-12-18T11:20:47Z</v>
      </c>
      <c r="D5" s="3" t="str">
        <f ca="1">IFERROR(__xludf.DUMMYFUNCTION("""COMPUTED_VALUE"""),"*Defense acquisition*, Positive, +2.2%, ARMADA ... Hellman &amp; Friedman is a 
preeminent global *private equity* firm with a distinctive investment ...")</f>
        <v>*Defense acquisition*, Positive, +2.2%, ARMADA ... Hellman &amp; Friedman is a 
preeminent global *private equity* firm with a distinctive investment ...</v>
      </c>
    </row>
    <row r="6" spans="1:4" ht="15.75" customHeight="1" x14ac:dyDescent="0.15">
      <c r="A6" s="3" t="str">
        <f ca="1">IFERROR(__xludf.DUMMYFUNCTION("""COMPUTED_VALUE"""),"Nukkleus Inc. Receives Shareholder Approval to Acquire Star 26 &lt;b&gt;Capital&lt;/b&gt; Inc. - Stock Titan")</f>
        <v>Nukkleus Inc. Receives Shareholder Approval to Acquire Star 26 &lt;b&gt;Capital&lt;/b&gt; Inc. - Stock Titan</v>
      </c>
      <c r="B6" s="4" t="str">
        <f ca="1">IFERROR(__xludf.DUMMYFUNCTION("""COMPUTED_VALUE"""),"https://www.google.com/url?rct=j&amp;sa=t&amp;url=https://www.stocktitan.net/news/NUKK/nukkleus-inc-receives-shareholder-approval-to-acquire-star-26-xr3buzgyi0wm.html&amp;ct=ga&amp;cd=CAIyHDEzYWM2MTZjN2IyNDZmMjI6Y29tOmVuOlVTOlI&amp;usg=AOvVaw0sfnOp4zg4iiP9p-5nVf-0")</f>
        <v>https://www.google.com/url?rct=j&amp;sa=t&amp;url=https://www.stocktitan.net/news/NUKK/nukkleus-inc-receives-shareholder-approval-to-acquire-star-26-xr3buzgyi0wm.html&amp;ct=ga&amp;cd=CAIyHDEzYWM2MTZjN2IyNDZmMjI6Y29tOmVuOlVTOlI&amp;usg=AOvVaw0sfnOp4zg4iiP9p-5nVf-0</v>
      </c>
      <c r="C6" s="3" t="str">
        <f ca="1">IFERROR(__xludf.DUMMYFUNCTION("""COMPUTED_VALUE"""),"2025-12-18T08:26:21Z")</f>
        <v>2025-12-18T08:26:21Z</v>
      </c>
      <c r="D6" s="3" t="str">
        <f ca="1">IFERROR(__xludf.DUMMYFUNCTION("""COMPUTED_VALUE"""),"... *acquisition* of Star 26 *Capital* Inc., a *defense*-focused 
*acquisition* company. ... Kalaris Therapeutics Announces Oversubscribed 
$50.0 Million *Private* ...")</f>
        <v>... *acquisition* of Star 26 *Capital* Inc., a *defense*-focused 
*acquisition* company. ... Kalaris Therapeutics Announces Oversubscribed 
$50.0 Million *Private* ...</v>
      </c>
    </row>
    <row r="7" spans="1:4" ht="15.75" customHeight="1" x14ac:dyDescent="0.15">
      <c r="A7" s="3" t="str">
        <f ca="1">IFERROR(__xludf.DUMMYFUNCTION("""COMPUTED_VALUE"""),"Aretum Announces &lt;b&gt;Acquisition&lt;/b&gt; of Veterans Engineering, Expanding Federal IT, Cyber, and ...")</f>
        <v>Aretum Announces &lt;b&gt;Acquisition&lt;/b&gt; of Veterans Engineering, Expanding Federal IT, Cyber, and ...</v>
      </c>
      <c r="B7" s="4" t="str">
        <f ca="1">IFERROR(__xludf.DUMMYFUNCTION("""COMPUTED_VALUE"""),"https://www.google.com/url?rct=j&amp;sa=t&amp;url=https://www.businesswire.com/news/home/20251211368812/en/Aretum-Announces-Acquisition-of-Veterans-Engineering-Expanding-Federal-IT-Cyber-and-Cloud-Capabilities&amp;ct=ga&amp;cd=CAIyHDEzYWM2MTZjN2IyNDZmMjI6Y29tOmVuOlVTOlI&amp;"&amp;"usg=AOvVaw2ypWCvZVg5uago_JZgpmpu")</f>
        <v>https://www.google.com/url?rct=j&amp;sa=t&amp;url=https://www.businesswire.com/news/home/20251211368812/en/Aretum-Announces-Acquisition-of-Veterans-Engineering-Expanding-Federal-IT-Cyber-and-Cloud-Capabilities&amp;ct=ga&amp;cd=CAIyHDEzYWM2MTZjN2IyNDZmMjI6Y29tOmVuOlVTOlI&amp;usg=AOvVaw2ypWCvZVg5uago_JZgpmpu</v>
      </c>
      <c r="C7" s="3" t="str">
        <f ca="1">IFERROR(__xludf.DUMMYFUNCTION("""COMPUTED_VALUE"""),"2025-12-11T12:30:53Z")</f>
        <v>2025-12-11T12:30:53Z</v>
      </c>
      <c r="D7" s="3" t="str">
        <f ca="1">IFERROR(__xludf.DUMMYFUNCTION("""COMPUTED_VALUE"""),"The *acquisition* was backed by Renovus Capital Partners, a lower middle 
market *private equity* firm focused on knowledge and talent-enabled 
businesses.")</f>
        <v>The *acquisition* was backed by Renovus Capital Partners, a lower middle 
market *private equity* firm focused on knowledge and talent-enabled 
businesses.</v>
      </c>
    </row>
    <row r="8" spans="1:4" ht="15.75" customHeight="1" x14ac:dyDescent="0.15">
      <c r="A8" s="3" t="str">
        <f ca="1">IFERROR(__xludf.DUMMYFUNCTION("""COMPUTED_VALUE"""),"CVC To Acquire Smiths Detection For £2 Billion - Pulse 2.0")</f>
        <v>CVC To Acquire Smiths Detection For £2 Billion - Pulse 2.0</v>
      </c>
      <c r="B8" s="4" t="str">
        <f ca="1">IFERROR(__xludf.DUMMYFUNCTION("""COMPUTED_VALUE"""),"https://www.google.com/url?rct=j&amp;sa=t&amp;url=https://pulse2.com/cvc-smiths-detection/&amp;ct=ga&amp;cd=CAIyHDEzYWM2MTZjN2IyNDZmMjI6Y29tOmVuOlVTOlI&amp;usg=AOvVaw3LDilTKQR6x2ZsgVCBxSFU")</f>
        <v>https://www.google.com/url?rct=j&amp;sa=t&amp;url=https://pulse2.com/cvc-smiths-detection/&amp;ct=ga&amp;cd=CAIyHDEzYWM2MTZjN2IyNDZmMjI6Y29tOmVuOlVTOlI&amp;usg=AOvVaw3LDilTKQR6x2ZsgVCBxSFU</v>
      </c>
      <c r="C8" s="3" t="str">
        <f ca="1">IFERROR(__xludf.DUMMYFUNCTION("""COMPUTED_VALUE"""),"2025-12-10T20:07:13Z")</f>
        <v>2025-12-10T20:07:13Z</v>
      </c>
      <c r="D8" s="3" t="str">
        <f ca="1">IFERROR(__xludf.DUMMYFUNCTION("""COMPUTED_VALUE"""),"... *defense*, and critical infrastructure technologies. The transaction 
... *Private Equity* Team at CVC, and Conor Keogh, Managing Director at CVC.")</f>
        <v>... *defense*, and critical infrastructure technologies. The transaction 
... *Private Equity* Team at CVC, and Conor Keogh, Managing Director at CVC.</v>
      </c>
    </row>
    <row r="9" spans="1:4" ht="15.75" customHeight="1" x14ac:dyDescent="0.15">
      <c r="A9" s="3" t="str">
        <f ca="1">IFERROR(__xludf.DUMMYFUNCTION("""COMPUTED_VALUE"""),"Greater Washington tech companies raise $1.4B in eight weeks as investors chase federal priorities")</f>
        <v>Greater Washington tech companies raise $1.4B in eight weeks as investors chase federal priorities</v>
      </c>
      <c r="B9" s="4" t="str">
        <f ca="1">IFERROR(__xludf.DUMMYFUNCTION("""COMPUTED_VALUE"""),"https://www.google.com/url?rct=j&amp;sa=t&amp;url=https://www.bizjournals.com/washington/news/2025/12/10/dc-area-tech-firms-nine-figure-deals.html&amp;ct=ga&amp;cd=CAIyHDEzYWM2MTZjN2IyNDZmMjI6Y29tOmVuOlVTOlI&amp;usg=AOvVaw3HXnAdPg_GtbKtRlXo-PjC")</f>
        <v>https://www.google.com/url?rct=j&amp;sa=t&amp;url=https://www.bizjournals.com/washington/news/2025/12/10/dc-area-tech-firms-nine-figure-deals.html&amp;ct=ga&amp;cd=CAIyHDEzYWM2MTZjN2IyNDZmMjI6Y29tOmVuOlVTOlI&amp;usg=AOvVaw3HXnAdPg_GtbKtRlXo-PjC</v>
      </c>
      <c r="C9" s="3" t="str">
        <f ca="1">IFERROR(__xludf.DUMMYFUNCTION("""COMPUTED_VALUE"""),"2025-12-10T19:01:08Z")</f>
        <v>2025-12-10T19:01:08Z</v>
      </c>
      <c r="D9" s="3" t="str">
        <f ca="1">IFERROR(__xludf.DUMMYFUNCTION("""COMPUTED_VALUE"""),"... *defense acquisition* purposes, raised $150 million from Boston *private 
equity* giant Bain Capital; Oct. 28 — Sublime Security, an D.C. email ...")</f>
        <v>... *defense acquisition* purposes, raised $150 million from Boston *private 
equity* giant Bain Capital; Oct. 28 — Sublime Security, an D.C. email ...</v>
      </c>
    </row>
    <row r="10" spans="1:4" ht="15.75" customHeight="1" x14ac:dyDescent="0.15">
      <c r="A10" s="3" t="str">
        <f ca="1">IFERROR(__xludf.DUMMYFUNCTION("""COMPUTED_VALUE"""),"In &lt;b&gt;defense&lt;/b&gt; of &lt;b&gt;private equity&lt;/b&gt;, with Jared Rhoads, M.S., M.P.H., of the Center for Modern Health")</f>
        <v>In &lt;b&gt;defense&lt;/b&gt; of &lt;b&gt;private equity&lt;/b&gt;, with Jared Rhoads, M.S., M.P.H., of the Center for Modern Health</v>
      </c>
      <c r="B10" s="4" t="str">
        <f ca="1">IFERROR(__xludf.DUMMYFUNCTION("""COMPUTED_VALUE"""),"https://www.google.com/url?rct=j&amp;sa=t&amp;url=https://www.medicaleconomics.com/view/in-defense-of-private-equity-with-jared-rhoads-m-s-m-p-h-of-the-center-for-modern-health&amp;ct=ga&amp;cd=CAIyHDEzYWM2MTZjN2IyNDZmMjI6Y29tOmVuOlVTOlI&amp;usg=AOvVaw2gsK1JmnGXzvdaG3GX-prf")</f>
        <v>https://www.google.com/url?rct=j&amp;sa=t&amp;url=https://www.medicaleconomics.com/view/in-defense-of-private-equity-with-jared-rhoads-m-s-m-p-h-of-the-center-for-modern-health&amp;ct=ga&amp;cd=CAIyHDEzYWM2MTZjN2IyNDZmMjI6Y29tOmVuOlVTOlI&amp;usg=AOvVaw2gsK1JmnGXzvdaG3GX-prf</v>
      </c>
      <c r="C10" s="3" t="str">
        <f ca="1">IFERROR(__xludf.DUMMYFUNCTION("""COMPUTED_VALUE"""),"2025-12-04T21:05:33Z")</f>
        <v>2025-12-04T21:05:33Z</v>
      </c>
      <c r="D10" s="3" t="str">
        <f ca="1">IFERROR(__xludf.DUMMYFUNCTION("""COMPUTED_VALUE"""),"Mergers and *Acquisitions* · Emerging Technology · Earnings and *Investment* 
... Check out Rhoads' September 2025 article in Medical Economics, "" In 
*defense* ...")</f>
        <v>Mergers and *Acquisitions* · Emerging Technology · Earnings and *Investment* 
... Check out Rhoads' September 2025 article in Medical Economics, " In 
*defense* ...</v>
      </c>
    </row>
    <row r="11" spans="1:4" ht="15.75" customHeight="1" x14ac:dyDescent="0.15">
      <c r="A11" s="3" t="str">
        <f ca="1">IFERROR(__xludf.DUMMYFUNCTION("""COMPUTED_VALUE"""),"Holland &amp; Knight Advises Electrosoft Services in Strategic &lt;b&gt;Investment&lt;/b&gt; from DigitalNet.ai")</f>
        <v>Holland &amp; Knight Advises Electrosoft Services in Strategic &lt;b&gt;Investment&lt;/b&gt; from DigitalNet.ai</v>
      </c>
      <c r="B11" s="4" t="str">
        <f ca="1">IFERROR(__xludf.DUMMYFUNCTION("""COMPUTED_VALUE"""),"https://www.google.com/url?rct=j&amp;sa=t&amp;url=https://www.hklaw.com/en/news/pressreleases/2025/12/holland-knight-advises-electrosoft-services-in-strategic-investmeny&amp;ct=ga&amp;cd=CAIyHDEzYWM2MTZjN2IyNDZmMjI6Y29tOmVuOlVTOlI&amp;usg=AOvVaw0U6RwEMWrERxUatjq6bVI4")</f>
        <v>https://www.google.com/url?rct=j&amp;sa=t&amp;url=https://www.hklaw.com/en/news/pressreleases/2025/12/holland-knight-advises-electrosoft-services-in-strategic-investmeny&amp;ct=ga&amp;cd=CAIyHDEzYWM2MTZjN2IyNDZmMjI6Y29tOmVuOlVTOlI&amp;usg=AOvVaw0U6RwEMWrERxUatjq6bVI4</v>
      </c>
      <c r="C11" s="3" t="str">
        <f ca="1">IFERROR(__xludf.DUMMYFUNCTION("""COMPUTED_VALUE"""),"2025-12-04T15:56:42Z")</f>
        <v>2025-12-04T15:56:42Z</v>
      </c>
      <c r="D11" s="3" t="str">
        <f ca="1">IFERROR(__xludf.DUMMYFUNCTION("""COMPUTED_VALUE"""),"... *defense* organizations in ... Related Practices. Corporate Services 
Mergers and *Acquisitions Private Equity* Artificial Intelligence 
Technology ...")</f>
        <v>... *defense* organizations in ... Related Practices. Corporate Services 
Mergers and *Acquisitions Private Equity* Artificial Intelligence 
Technology ...</v>
      </c>
    </row>
    <row r="12" spans="1:4" ht="15.75" customHeight="1" x14ac:dyDescent="0.15">
      <c r="A12" s="3" t="str">
        <f ca="1">IFERROR(__xludf.DUMMYFUNCTION("""COMPUTED_VALUE"""),"Greenbriar unveils Applied Aerospace &amp; &lt;b&gt;Defense&lt;/b&gt; - PE Hub")</f>
        <v>Greenbriar unveils Applied Aerospace &amp; &lt;b&gt;Defense&lt;/b&gt; - PE Hub</v>
      </c>
      <c r="B12" s="4" t="str">
        <f ca="1">IFERROR(__xludf.DUMMYFUNCTION("""COMPUTED_VALUE"""),"https://www.google.com/url?rct=j&amp;sa=t&amp;url=https://www.pehub.com/greenbriar-unveils-applied-aerospace-defense/&amp;ct=ga&amp;cd=CAIyHDEzYWM2MTZjN2IyNDZmMjI6Y29tOmVuOlVTOlI&amp;usg=AOvVaw3UdZPeqQFBij4G859ZSd9d")</f>
        <v>https://www.google.com/url?rct=j&amp;sa=t&amp;url=https://www.pehub.com/greenbriar-unveils-applied-aerospace-defense/&amp;ct=ga&amp;cd=CAIyHDEzYWM2MTZjN2IyNDZmMjI6Y29tOmVuOlVTOlI&amp;usg=AOvVaw3UdZPeqQFBij4G859ZSd9d</v>
      </c>
      <c r="C12" s="3" t="str">
        <f ca="1">IFERROR(__xludf.DUMMYFUNCTION("""COMPUTED_VALUE"""),"2025-12-04T14:18:53Z")</f>
        <v>2025-12-04T14:18:53Z</v>
      </c>
      <c r="D12" s="3" t="str">
        <f ca="1">IFERROR(__xludf.DUMMYFUNCTION("""COMPUTED_VALUE"""),"Greenbriar *Equity* Group has formed Applied Aerospace &amp; *Defense*, a 
US-based supplier of hardware for space and *defense* technology companies.")</f>
        <v>Greenbriar *Equity* Group has formed Applied Aerospace &amp; *Defense*, a 
US-based supplier of hardware for space and *defense* technology companies.</v>
      </c>
    </row>
    <row r="13" spans="1:4" ht="15.75" customHeight="1" x14ac:dyDescent="0.15">
      <c r="A13" s="3" t="str">
        <f ca="1">IFERROR(__xludf.DUMMYFUNCTION("""COMPUTED_VALUE"""),"Chantilly's Red River buys veteran-owned Invictus to bolster &lt;b&gt;defense&lt;/b&gt; business")</f>
        <v>Chantilly's Red River buys veteran-owned Invictus to bolster &lt;b&gt;defense&lt;/b&gt; business</v>
      </c>
      <c r="B13" s="4" t="str">
        <f ca="1">IFERROR(__xludf.DUMMYFUNCTION("""COMPUTED_VALUE"""),"https://www.google.com/url?rct=j&amp;sa=t&amp;url=https://www.bizjournals.com/washington/news/2025/12/04/red-river-invictus-defense-acquisition.html&amp;ct=ga&amp;cd=CAIyHDEzYWM2MTZjN2IyNDZmMjI6Y29tOmVuOlVTOlI&amp;usg=AOvVaw2veML6wHJ3xbDAyz0t197V")</f>
        <v>https://www.google.com/url?rct=j&amp;sa=t&amp;url=https://www.bizjournals.com/washington/news/2025/12/04/red-river-invictus-defense-acquisition.html&amp;ct=ga&amp;cd=CAIyHDEzYWM2MTZjN2IyNDZmMjI6Y29tOmVuOlVTOlI&amp;usg=AOvVaw2veML6wHJ3xbDAyz0t197V</v>
      </c>
      <c r="C13" s="3" t="str">
        <f ca="1">IFERROR(__xludf.DUMMYFUNCTION("""COMPUTED_VALUE"""),"2025-12-04T13:27:17Z")</f>
        <v>2025-12-04T13:27:17Z</v>
      </c>
      <c r="D13" s="3" t="str">
        <f ca="1">IFERROR(__xludf.DUMMYFUNCTION("""COMPUTED_VALUE"""),"... *defense*-*acquisition*.html. SUBSCRIBER CONTENT: Technology. 
Chantilly's ... *private equity* firm Cerberus Capital Management. 
Invictus, one of the ...")</f>
        <v>... *defense*-*acquisition*.html. SUBSCRIBER CONTENT: Technology. 
Chantilly's ... *private equity* firm Cerberus Capital Management. 
Invictus, one of the ...</v>
      </c>
    </row>
    <row r="14" spans="1:4" ht="15.75" customHeight="1" x14ac:dyDescent="0.15">
      <c r="A14" s="3" t="str">
        <f ca="1">IFERROR(__xludf.DUMMYFUNCTION("""COMPUTED_VALUE"""),"Synergy ECP Expands &lt;b&gt;Defense&lt;/b&gt; &amp; Intelligence Capabilities With NetServices &lt;b&gt;Acquisition&lt;/b&gt;")</f>
        <v>Synergy ECP Expands &lt;b&gt;Defense&lt;/b&gt; &amp; Intelligence Capabilities With NetServices &lt;b&gt;Acquisition&lt;/b&gt;</v>
      </c>
      <c r="B14" s="4" t="str">
        <f ca="1">IFERROR(__xludf.DUMMYFUNCTION("""COMPUTED_VALUE"""),"https://www.google.com/url?rct=j&amp;sa=t&amp;url=https://www.govconwire.com/articles/synergy-ecp-acquires-netservices&amp;ct=ga&amp;cd=CAIyHDEzYWM2MTZjN2IyNDZmMjI6Y29tOmVuOlVTOlI&amp;usg=AOvVaw24fW6f3zRtG_STqxooeS1m")</f>
        <v>https://www.google.com/url?rct=j&amp;sa=t&amp;url=https://www.govconwire.com/articles/synergy-ecp-acquires-netservices&amp;ct=ga&amp;cd=CAIyHDEzYWM2MTZjN2IyNDZmMjI6Y29tOmVuOlVTOlI&amp;usg=AOvVaw24fW6f3zRtG_STqxooeS1m</v>
      </c>
      <c r="C14" s="3" t="str">
        <f ca="1">IFERROR(__xludf.DUMMYFUNCTION("""COMPUTED_VALUE"""),"2025-12-04T10:09:11Z")</f>
        <v>2025-12-04T10:09:11Z</v>
      </c>
      <c r="D14" s="3" t="str">
        <f ca="1">IFERROR(__xludf.DUMMYFUNCTION("""COMPUTED_VALUE"""),"The Columbia, Maryland-based Synergy ECP said Wednesday the deal was backed 
by *private equity* firm Falfurrias Management Partners, which invested 
in ...")</f>
        <v>The Columbia, Maryland-based Synergy ECP said Wednesday the deal was backed 
by *private equity* firm Falfurrias Management Partners, which invested 
in ...</v>
      </c>
    </row>
    <row r="15" spans="1:4" ht="15.75" customHeight="1" x14ac:dyDescent="0.15">
      <c r="A15" s="3" t="str">
        <f ca="1">IFERROR(__xludf.DUMMYFUNCTION("""COMPUTED_VALUE"""),"Inside information: Incap acquires Lacon Group, strengthening its position in the fast ... - TradingView")</f>
        <v>Inside information: Incap acquires Lacon Group, strengthening its position in the fast ... - TradingView</v>
      </c>
      <c r="B15" s="4" t="str">
        <f ca="1">IFERROR(__xludf.DUMMYFUNCTION("""COMPUTED_VALUE"""),"https://www.google.com/url?rct=j&amp;sa=t&amp;url=https://www.tradingview.com/news/reuters.com,2025-12-04:newsml_MFN93yqh1:0-inside-information-incap-acquires-lacon-group-strengthening-its-position-in-the-fast-growing-defense-sector-and-expanding-offering-to-desi"&amp;"gn-and-development-services/&amp;ct=ga&amp;cd=CAIyHDEzYWM2MTZjN2IyNDZmMjI6Y29tOmVuOlVTOlI&amp;usg=AOvVaw3Sz5P9E6f17KF9W1kwBK76")</f>
        <v>https://www.google.com/url?rct=j&amp;sa=t&amp;url=https://www.tradingview.com/news/reuters.com,2025-12-04:newsml_MFN93yqh1:0-inside-information-incap-acquires-lacon-group-strengthening-its-position-in-the-fast-growing-defense-sector-and-expanding-offering-to-design-and-development-services/&amp;ct=ga&amp;cd=CAIyHDEzYWM2MTZjN2IyNDZmMjI6Y29tOmVuOlVTOlI&amp;usg=AOvVaw3Sz5P9E6f17KF9W1kwBK76</v>
      </c>
      <c r="C15" s="3" t="str">
        <f ca="1">IFERROR(__xludf.DUMMYFUNCTION("""COMPUTED_VALUE"""),"2025-12-04T07:50:15Z")</f>
        <v>2025-12-04T07:50:15Z</v>
      </c>
      <c r="D15" s="3" t="str">
        <f ca="1">IFERROR(__xludf.DUMMYFUNCTION("""COMPUTED_VALUE"""),"The *acquisition* accelerates Incap's growth strategy by strengthening its 
position in *defense* ... The selling party includes German-based *private 
equity* ...")</f>
        <v>The *acquisition* accelerates Incap's growth strategy by strengthening its 
position in *defense* ... The selling party includes German-based *private 
equity* ...</v>
      </c>
    </row>
    <row r="16" spans="1:4" ht="15.75" customHeight="1" x14ac:dyDescent="0.15">
      <c r="A16" s="3" t="str">
        <f ca="1">IFERROR(__xludf.DUMMYFUNCTION("""COMPUTED_VALUE"""),"Title")</f>
        <v>Title</v>
      </c>
      <c r="B16" s="3" t="str">
        <f ca="1">IFERROR(__xludf.DUMMYFUNCTION("""COMPUTED_VALUE"""),"URL")</f>
        <v>URL</v>
      </c>
      <c r="C16" s="3" t="str">
        <f ca="1">IFERROR(__xludf.DUMMYFUNCTION("""COMPUTED_VALUE"""),"Date Created")</f>
        <v>Date Created</v>
      </c>
      <c r="D16" s="3" t="str">
        <f ca="1">IFERROR(__xludf.DUMMYFUNCTION("""COMPUTED_VALUE"""),"Summary")</f>
        <v>Summary</v>
      </c>
    </row>
    <row r="17" spans="1:4" ht="15.75" customHeight="1" x14ac:dyDescent="0.15">
      <c r="A17" s="3" t="str">
        <f ca="1">IFERROR(__xludf.DUMMYFUNCTION("""COMPUTED_VALUE"""),"Rocket Lab USA Soars as Massive &lt;b&gt;Defense&lt;/b&gt; Deal Lands - TipRanks.com")</f>
        <v>Rocket Lab USA Soars as Massive &lt;b&gt;Defense&lt;/b&gt; Deal Lands - TipRanks.com</v>
      </c>
      <c r="B17" s="4" t="str">
        <f ca="1">IFERROR(__xludf.DUMMYFUNCTION("""COMPUTED_VALUE"""),"https://www.google.com/url?rct=j&amp;sa=t&amp;url=https://www.tipranks.com/news/weekend-updates/rocket-lab-usa-soars-as-massive-defense-deal-lands&amp;ct=ga&amp;cd=CAIyHDMxNmE1OTNkZTEyZjQ2YTM6Y29tOmVuOlVTOlI&amp;usg=AOvVaw2ec2JClsRNqx2Dz2qc2U2E")</f>
        <v>https://www.google.com/url?rct=j&amp;sa=t&amp;url=https://www.tipranks.com/news/weekend-updates/rocket-lab-usa-soars-as-massive-defense-deal-lands&amp;ct=ga&amp;cd=CAIyHDMxNmE1OTNkZTEyZjQ2YTM6Y29tOmVuOlVTOlI&amp;usg=AOvVaw2ec2JClsRNqx2Dz2qc2U2E</v>
      </c>
      <c r="C17" s="3" t="str">
        <f ca="1">IFERROR(__xludf.DUMMYFUNCTION("""COMPUTED_VALUE"""),"2026-01-03T14:10:15Z")</f>
        <v>2026-01-03T14:10:15Z</v>
      </c>
      <c r="D17" s="3" t="str">
        <f ca="1">IFERROR(__xludf.DUMMYFUNCTION("""COMPUTED_VALUE"""),"... *raise* more *capital*. That tension—between rapid growth and financial 
strain—helps explain why options traders are also paying up for downside ...")</f>
        <v>... *raise* more *capital*. That tension—between rapid growth and financial 
strain—helps explain why options traders are also paying up for downside ...</v>
      </c>
    </row>
    <row r="18" spans="1:4" ht="15.75" customHeight="1" x14ac:dyDescent="0.15">
      <c r="A18" s="3" t="str">
        <f ca="1">IFERROR(__xludf.DUMMYFUNCTION("""COMPUTED_VALUE"""),"President Trump orders divestment in $2.9 million chips deal to protect US security interests")</f>
        <v>President Trump orders divestment in $2.9 million chips deal to protect US security interests</v>
      </c>
      <c r="B18" s="4" t="str">
        <f ca="1">IFERROR(__xludf.DUMMYFUNCTION("""COMPUTED_VALUE"""),"https://www.google.com/url?rct=j&amp;sa=t&amp;url=https://www.ctpost.com/news/politics/article/president-trump-orders-divestment-in-2-9-million-21273498.php&amp;ct=ga&amp;cd=CAIyHDMxNmE1OTNkZTEyZjQ2YTM6Y29tOmVuOlVTOlI&amp;usg=AOvVaw15zCctxhWxEyTfDBbEyrzM")</f>
        <v>https://www.google.com/url?rct=j&amp;sa=t&amp;url=https://www.ctpost.com/news/politics/article/president-trump-orders-divestment-in-2-9-million-21273498.php&amp;ct=ga&amp;cd=CAIyHDMxNmE1OTNkZTEyZjQ2YTM6Y29tOmVuOlVTOlI&amp;usg=AOvVaw15zCctxhWxEyTfDBbEyrzM</v>
      </c>
      <c r="C18" s="3" t="str">
        <f ca="1">IFERROR(__xludf.DUMMYFUNCTION("""COMPUTED_VALUE"""),"2026-01-03T13:57:55Z")</f>
        <v>2026-01-03T13:57:55Z</v>
      </c>
      <c r="D18" s="3" t="str">
        <f ca="1">IFERROR(__xludf.DUMMYFUNCTION("""COMPUTED_VALUE"""),"The deal involved aerospace and *defense* specialist Emcore Corp. ... Polar 
Plunge kicks off 2026 in Stratford by *raising money* for Make A Wish.")</f>
        <v>The deal involved aerospace and *defense* specialist Emcore Corp. ... Polar 
Plunge kicks off 2026 in Stratford by *raising money* for Make A Wish.</v>
      </c>
    </row>
    <row r="19" spans="1:4" ht="15.75" customHeight="1" x14ac:dyDescent="0.15">
      <c r="A19" s="3" t="str">
        <f ca="1">IFERROR(__xludf.DUMMYFUNCTION("""COMPUTED_VALUE"""),"Churchill &lt;b&gt;Capital&lt;/b&gt; X: Reading The Tea Leaves On Infleqtion (NASDAQ:CCCX) | Seeking Alpha")</f>
        <v>Churchill &lt;b&gt;Capital&lt;/b&gt; X: Reading The Tea Leaves On Infleqtion (NASDAQ:CCCX) | Seeking Alpha</v>
      </c>
      <c r="B19" s="4" t="str">
        <f ca="1">IFERROR(__xludf.DUMMYFUNCTION("""COMPUTED_VALUE"""),"https://www.google.com/url?rct=j&amp;sa=t&amp;url=https://seekingalpha.com/article/4856884-churchill-capital-x-reading-the-tea-leaves-on-infleqtion&amp;ct=ga&amp;cd=CAIyHDMxNmE1OTNkZTEyZjQ2YTM6Y29tOmVuOlVTOlI&amp;usg=AOvVaw0zrXwijqAw9ZqHRB7CzGYL")</f>
        <v>https://www.google.com/url?rct=j&amp;sa=t&amp;url=https://seekingalpha.com/article/4856884-churchill-capital-x-reading-the-tea-leaves-on-infleqtion&amp;ct=ga&amp;cd=CAIyHDMxNmE1OTNkZTEyZjQ2YTM6Y29tOmVuOlVTOlI&amp;usg=AOvVaw0zrXwijqAw9ZqHRB7CzGYL</v>
      </c>
      <c r="C19" s="3" t="str">
        <f ca="1">IFERROR(__xludf.DUMMYFUNCTION("""COMPUTED_VALUE"""),"2026-01-03T11:46:39Z")</f>
        <v>2026-01-03T11:46:39Z</v>
      </c>
      <c r="D19" s="3" t="str">
        <f ca="1">IFERROR(__xludf.DUMMYFUNCTION("""COMPUTED_VALUE"""),"Nor is it clear why Infleqtion couldn't *raise* enough *capital* privately 
(an option Kinsella says the company considered). Quantum firms are 
generating ...")</f>
        <v>Nor is it clear why Infleqtion couldn't *raise* enough *capital* privately 
(an option Kinsella says the company considered). Quantum firms are 
generating ...</v>
      </c>
    </row>
    <row r="20" spans="1:4" ht="15.75" customHeight="1" x14ac:dyDescent="0.15">
      <c r="A20" s="3" t="str">
        <f ca="1">IFERROR(__xludf.DUMMYFUNCTION("""COMPUTED_VALUE"""),"Live: Trump claims Venezuela's Maduro 'captured' after attacks | News | Al Jazeera")</f>
        <v>Live: Trump claims Venezuela's Maduro 'captured' after attacks | News | Al Jazeera</v>
      </c>
      <c r="B20" s="4" t="str">
        <f ca="1">IFERROR(__xludf.DUMMYFUNCTION("""COMPUTED_VALUE"""),"https://www.google.com/url?rct=j&amp;sa=t&amp;url=https://www.aljazeera.com/news/liveblog/2026/1/3/live-loud-noises-heard-in-venezuelas-capital-amid-us-tensions&amp;ct=ga&amp;cd=CAIyHDMxNmE1OTNkZTEyZjQ2YTM6Y29tOmVuOlVTOlI&amp;usg=AOvVaw2zMJIK3ht-wcYhy5gghrtq")</f>
        <v>https://www.google.com/url?rct=j&amp;sa=t&amp;url=https://www.aljazeera.com/news/liveblog/2026/1/3/live-loud-noises-heard-in-venezuelas-capital-amid-us-tensions&amp;ct=ga&amp;cd=CAIyHDMxNmE1OTNkZTEyZjQ2YTM6Y29tOmVuOlVTOlI&amp;usg=AOvVaw2zMJIK3ht-wcYhy5gghrtq</v>
      </c>
      <c r="C20" s="3" t="str">
        <f ca="1">IFERROR(__xludf.DUMMYFUNCTION("""COMPUTED_VALUE"""),"2026-01-03T11:42:02Z")</f>
        <v>2026-01-03T11:42:02Z</v>
      </c>
      <c r="D20" s="3" t="str">
        <f ca="1">IFERROR(__xludf.DUMMYFUNCTION("""COMPUTED_VALUE"""),"Analyst *raises* questions over impact of US strikes ... A six-month 
escalation by the United States against Venezuela failed to generate the 
internal ...")</f>
        <v>Analyst *raises* questions over impact of US strikes ... A six-month 
escalation by the United States against Venezuela failed to generate the 
internal ...</v>
      </c>
    </row>
    <row r="21" spans="1:4" ht="13" x14ac:dyDescent="0.15">
      <c r="A21" s="3" t="str">
        <f ca="1">IFERROR(__xludf.DUMMYFUNCTION("""COMPUTED_VALUE"""),"AML3D reports strong 2025 growth with &lt;b&gt;new defense&lt;/b&gt; contracts and U.S. expansion")</f>
        <v>AML3D reports strong 2025 growth with &lt;b&gt;new defense&lt;/b&gt; contracts and U.S. expansion</v>
      </c>
      <c r="B21" s="4" t="str">
        <f ca="1">IFERROR(__xludf.DUMMYFUNCTION("""COMPUTED_VALUE"""),"https://www.google.com/url?rct=j&amp;sa=t&amp;url=https://www.voxelmatters.com/aml3d-reports-strong-2025-growth-with-new-defense-contracts-and-u-s-expansion/&amp;ct=ga&amp;cd=CAIyGmEyZWM3MTRjMDNiY2Y1ZGI6Y29tOmVuOlVT&amp;usg=AOvVaw0vttwnO9cny7Wr1NmkPLg0")</f>
        <v>https://www.google.com/url?rct=j&amp;sa=t&amp;url=https://www.voxelmatters.com/aml3d-reports-strong-2025-growth-with-new-defense-contracts-and-u-s-expansion/&amp;ct=ga&amp;cd=CAIyGmEyZWM3MTRjMDNiY2Y1ZGI6Y29tOmVuOlVT&amp;usg=AOvVaw0vttwnO9cny7Wr1NmkPLg0</v>
      </c>
      <c r="C21" s="3" t="str">
        <f ca="1">IFERROR(__xludf.DUMMYFUNCTION("""COMPUTED_VALUE"""),"2025-12-17T23:21:20Z")</f>
        <v>2025-12-17T23:21:20Z</v>
      </c>
      <c r="D21" s="3" t="str">
        <f ca="1">IFERROR(__xludf.DUMMYFUNCTION("""COMPUTED_VALUE"""),"Discover how AML3D closed 2025 with major orders and international 
expansion in the metal additive *manufacturing* sector.")</f>
        <v>Discover how AML3D closed 2025 with major orders and international 
expansion in the metal additive *manufacturing* sector.</v>
      </c>
    </row>
    <row r="22" spans="1:4" ht="13" x14ac:dyDescent="0.15">
      <c r="A22" s="3" t="str">
        <f ca="1">IFERROR(__xludf.DUMMYFUNCTION("""COMPUTED_VALUE"""),"Lithuania Plans Record &lt;b&gt;Defense&lt;/b&gt; Spending with &lt;b&gt;New&lt;/b&gt; State-Owned &lt;b&gt;Defense&lt;/b&gt; Holding and ...")</f>
        <v>Lithuania Plans Record &lt;b&gt;Defense&lt;/b&gt; Spending with &lt;b&gt;New&lt;/b&gt; State-Owned &lt;b&gt;Defense&lt;/b&gt; Holding and ...</v>
      </c>
      <c r="B22" s="4" t="str">
        <f ca="1">IFERROR(__xludf.DUMMYFUNCTION("""COMPUTED_VALUE"""),"https://www.google.com/url?rct=j&amp;sa=t&amp;url=https://news.ssbcrack.com/lithuania-plans-record-defense-spending-with-new-state-owned-defense-holding-and-major-military-acquisitions/&amp;ct=ga&amp;cd=CAIyGmEyZWM3MTRjMDNiY2Y1ZGI6Y29tOmVuOlVT&amp;usg=AOvVaw1qmYVWHR17GpCHUlI"&amp;"k2U3L")</f>
        <v>https://www.google.com/url?rct=j&amp;sa=t&amp;url=https://news.ssbcrack.com/lithuania-plans-record-defense-spending-with-new-state-owned-defense-holding-and-major-military-acquisitions/&amp;ct=ga&amp;cd=CAIyGmEyZWM3MTRjMDNiY2Y1ZGI6Y29tOmVuOlVT&amp;usg=AOvVaw1qmYVWHR17GpCHUlIk2U3L</v>
      </c>
      <c r="C22" s="3" t="str">
        <f ca="1">IFERROR(__xludf.DUMMYFUNCTION("""COMPUTED_VALUE"""),"2025-12-17T15:18:54Z")</f>
        <v>2025-12-17T15:18:54Z</v>
      </c>
      <c r="D22" s="3" t="str">
        <f ca="1">IFERROR(__xludf.DUMMYFUNCTION("""COMPUTED_VALUE"""),"Additionally, EPSO-G is collaborating on a project to establish a 155mm 
artillery ammunition *factory* in Lithuania, which will be co-owned with ...")</f>
        <v>Additionally, EPSO-G is collaborating on a project to establish a 155mm 
artillery ammunition *factory* in Lithuania, which will be co-owned with ...</v>
      </c>
    </row>
    <row r="23" spans="1:4" ht="13" x14ac:dyDescent="0.15">
      <c r="A23" s="3" t="str">
        <f ca="1">IFERROR(__xludf.DUMMYFUNCTION("""COMPUTED_VALUE"""),"BAE Systems Introduces OneArc, a &lt;b&gt;New&lt;/b&gt; Commercial &lt;b&gt;Defense&lt;/b&gt; Technology Platform")</f>
        <v>BAE Systems Introduces OneArc, a &lt;b&gt;New&lt;/b&gt; Commercial &lt;b&gt;Defense&lt;/b&gt; Technology Platform</v>
      </c>
      <c r="B23" s="4" t="str">
        <f ca="1">IFERROR(__xludf.DUMMYFUNCTION("""COMPUTED_VALUE"""),"https://www.google.com/url?rct=j&amp;sa=t&amp;url=https://themachinemaker.com/news/bae-systems-introduces-onearc-a-new-commercial-defense-technology-platform/&amp;ct=ga&amp;cd=CAIyGmEyZWM3MTRjMDNiY2Y1ZGI6Y29tOmVuOlVT&amp;usg=AOvVaw0IN1cZMS-5wM8Rho8yXYWa")</f>
        <v>https://www.google.com/url?rct=j&amp;sa=t&amp;url=https://themachinemaker.com/news/bae-systems-introduces-onearc-a-new-commercial-defense-technology-platform/&amp;ct=ga&amp;cd=CAIyGmEyZWM3MTRjMDNiY2Y1ZGI6Y29tOmVuOlVT&amp;usg=AOvVaw0IN1cZMS-5wM8Rho8yXYWa</v>
      </c>
      <c r="C23" s="3" t="str">
        <f ca="1">IFERROR(__xludf.DUMMYFUNCTION("""COMPUTED_VALUE"""),"2025-12-10T20:52:28Z")</f>
        <v>2025-12-10T20:52:28Z</v>
      </c>
      <c r="D23" s="3" t="str">
        <f ca="1">IFERROR(__xludf.DUMMYFUNCTION("""COMPUTED_VALUE"""),"... *products* and solutions in synthetic training ... *Manufacturing* News 
- *Latest Manufacturing* News | Indian *Manufacturing* News - Machine Maker.")</f>
        <v>... *products* and solutions in synthetic training ... *Manufacturing* News 
- *Latest Manufacturing* News | Indian *Manufacturing* News - Machine Maker.</v>
      </c>
    </row>
    <row r="24" spans="1:4" ht="13" x14ac:dyDescent="0.15">
      <c r="A24" s="3" t="str">
        <f ca="1">IFERROR(__xludf.DUMMYFUNCTION("""COMPUTED_VALUE"""),"EDEX 2025 Day 2: Egypt Unveils Cutting-Edge &lt;b&gt;Defense&lt;/b&gt; Systems and &lt;b&gt;New&lt;/b&gt; Military &lt;b&gt;Products&lt;/b&gt;")</f>
        <v>EDEX 2025 Day 2: Egypt Unveils Cutting-Edge &lt;b&gt;Defense&lt;/b&gt; Systems and &lt;b&gt;New&lt;/b&gt; Military &lt;b&gt;Products&lt;/b&gt;</v>
      </c>
      <c r="B24" s="4" t="str">
        <f ca="1">IFERROR(__xludf.DUMMYFUNCTION("""COMPUTED_VALUE"""),"https://www.google.com/url?rct=j&amp;sa=t&amp;url=https://www.armyrecognition.com/news/defense-web-tv/edex-2025-day-2-egypt-unveils-cutting-edge-defense-systems-and-new-military-products&amp;ct=ga&amp;cd=CAIyGmEyZWM3MTRjMDNiY2Y1ZGI6Y29tOmVuOlVT&amp;usg=AOvVaw2C9CuRvgT1aqO8UP"&amp;"1vZmTs")</f>
        <v>https://www.google.com/url?rct=j&amp;sa=t&amp;url=https://www.armyrecognition.com/news/defense-web-tv/edex-2025-day-2-egypt-unveils-cutting-edge-defense-systems-and-new-military-products&amp;ct=ga&amp;cd=CAIyGmEyZWM3MTRjMDNiY2Y1ZGI6Y29tOmVuOlVT&amp;usg=AOvVaw2C9CuRvgT1aqO8UP1vZmTs</v>
      </c>
      <c r="C24" s="3" t="str">
        <f ca="1">IFERROR(__xludf.DUMMYFUNCTION("""COMPUTED_VALUE"""),"2025-12-04T17:02:26Z")</f>
        <v>2025-12-04T17:02:26Z</v>
      </c>
      <c r="D24" s="3" t="str">
        <f ca="1">IFERROR(__xludf.DUMMYFUNCTION("""COMPUTED_VALUE"""),"... *defense manufacturing* force. Army Recognition reporters on the ground 
described a show floor filled with newly developed systems from Egyptian ...")</f>
        <v>... *defense manufacturing* force. Army Recognition reporters on the ground 
described a show floor filled with newly developed systems from Egyptian ...</v>
      </c>
    </row>
    <row r="25" spans="1:4" ht="13" x14ac:dyDescent="0.15">
      <c r="A25" s="3" t="str">
        <f ca="1">IFERROR(__xludf.DUMMYFUNCTION("""COMPUTED_VALUE"""),"BAE Systems Launches Velhawk Cybersecurity Solutions to Accelerate Cyber &lt;b&gt;Defense&lt;/b&gt;")</f>
        <v>BAE Systems Launches Velhawk Cybersecurity Solutions to Accelerate Cyber &lt;b&gt;Defense&lt;/b&gt;</v>
      </c>
      <c r="B25" s="4" t="str">
        <f ca="1">IFERROR(__xludf.DUMMYFUNCTION("""COMPUTED_VALUE"""),"https://www.google.com/url?rct=j&amp;sa=t&amp;url=https://www.designdevelopmenttoday.com/industries/iot/news/22955964/bae-systems-launches-velhawk-cybersecurity-solutions-to-accelerate-cyber-defense&amp;ct=ga&amp;cd=CAIyGmEyZWM3MTRjMDNiY2Y1ZGI6Y29tOmVuOlVT&amp;usg=AOvVaw0xou"&amp;"61WsxjTrVbiTE93Jdb")</f>
        <v>https://www.google.com/url?rct=j&amp;sa=t&amp;url=https://www.designdevelopmenttoday.com/industries/iot/news/22955964/bae-systems-launches-velhawk-cybersecurity-solutions-to-accelerate-cyber-defense&amp;ct=ga&amp;cd=CAIyGmEyZWM3MTRjMDNiY2Y1ZGI6Y29tOmVuOlVT&amp;usg=AOvVaw0xou61WsxjTrVbiTE93Jdb</v>
      </c>
      <c r="C25" s="3" t="str">
        <f ca="1">IFERROR(__xludf.DUMMYFUNCTION("""COMPUTED_VALUE"""),"2025-12-03T21:59:01Z")</f>
        <v>2025-12-03T21:59:01Z</v>
      </c>
      <c r="D25" s="3" t="str">
        <f ca="1">IFERROR(__xludf.DUMMYFUNCTION("""COMPUTED_VALUE"""),"First Solar Inaugurates $1.1B AI-Enabled *Manufacturing Facility* in 
Louisiana ... *New Products* · News. Resources. Video · Contact Us · 
Advertise · Credit ...")</f>
        <v>First Solar Inaugurates $1.1B AI-Enabled *Manufacturing Facility* in 
Louisiana ... *New Products* · News. Resources. Video · Contact Us · 
Advertise · Credit ...</v>
      </c>
    </row>
    <row r="26" spans="1:4" ht="13" x14ac:dyDescent="0.15">
      <c r="A26" s="3" t="str">
        <f ca="1">IFERROR(__xludf.DUMMYFUNCTION("""COMPUTED_VALUE"""),"Hanwha Systems Completes Major Expansion of Gumi Production &lt;b&gt;Facility&lt;/b&gt;")</f>
        <v>Hanwha Systems Completes Major Expansion of Gumi Production &lt;b&gt;Facility&lt;/b&gt;</v>
      </c>
      <c r="B26" s="4" t="str">
        <f ca="1">IFERROR(__xludf.DUMMYFUNCTION("""COMPUTED_VALUE"""),"https://www.google.com/url?rct=j&amp;sa=t&amp;url=https://thedefensepost.com/2025/11/28/hanwha-systems-production-facility/&amp;ct=ga&amp;cd=CAIyGmEyZWM3MTRjMDNiY2Y1ZGI6Y29tOmVuOlVT&amp;usg=AOvVaw38yTEEIld28-QLygEZSjld")</f>
        <v>https://www.google.com/url?rct=j&amp;sa=t&amp;url=https://thedefensepost.com/2025/11/28/hanwha-systems-production-facility/&amp;ct=ga&amp;cd=CAIyGmEyZWM3MTRjMDNiY2Y1ZGI6Y29tOmVuOlVT&amp;usg=AOvVaw38yTEEIld28-QLygEZSjld</v>
      </c>
      <c r="C26" s="3" t="str">
        <f ca="1">IFERROR(__xludf.DUMMYFUNCTION("""COMPUTED_VALUE"""),"2025-11-28T19:46:27Z")</f>
        <v>2025-11-28T19:46:27Z</v>
      </c>
      <c r="D26" s="3" t="str">
        <f ca="1">IFERROR(__xludf.DUMMYFUNCTION("""COMPUTED_VALUE"""),"The *new* Gumi *facility* supports the production and export of key naval 
*defense* systems, including multi-function radars and combat systems, 
which ...")</f>
        <v>The *new* Gumi *facility* supports the production and export of key naval 
*defense* systems, including multi-function radars and combat systems, 
which ...</v>
      </c>
    </row>
    <row r="27" spans="1:4" ht="13" x14ac:dyDescent="0.15">
      <c r="A27" s="3" t="str">
        <f ca="1">IFERROR(__xludf.DUMMYFUNCTION("""COMPUTED_VALUE"""),"UK Picks 13 &lt;b&gt;Factory&lt;/b&gt; Sites to End Reliance on Foreign Explosives - Bloomberg")</f>
        <v>UK Picks 13 &lt;b&gt;Factory&lt;/b&gt; Sites to End Reliance on Foreign Explosives - Bloomberg</v>
      </c>
      <c r="B27" s="4" t="str">
        <f ca="1">IFERROR(__xludf.DUMMYFUNCTION("""COMPUTED_VALUE"""),"https://www.google.com/url?rct=j&amp;sa=t&amp;url=https://www.bloomberg.com/news/articles/2025-11-19/uk-pinpoints-13-new-sites-to-end-reliance-on-foreign-explosives&amp;ct=ga&amp;cd=CAIyGmEyZWM3MTRjMDNiY2Y1ZGI6Y29tOmVuOlVT&amp;usg=AOvVaw26ddsdkN1E9dnI5_rmN25m")</f>
        <v>https://www.google.com/url?rct=j&amp;sa=t&amp;url=https://www.bloomberg.com/news/articles/2025-11-19/uk-pinpoints-13-new-sites-to-end-reliance-on-foreign-explosives&amp;ct=ga&amp;cd=CAIyGmEyZWM3MTRjMDNiY2Y1ZGI6Y29tOmVuOlVT&amp;usg=AOvVaw26ddsdkN1E9dnI5_rmN25m</v>
      </c>
      <c r="C27" s="3" t="str">
        <f ca="1">IFERROR(__xludf.DUMMYFUNCTION("""COMPUTED_VALUE"""),"2025-11-19T06:09:37Z")</f>
        <v>2025-11-19T06:09:37Z</v>
      </c>
      <c r="D27" s="3" t="str">
        <f ca="1">IFERROR(__xludf.DUMMYFUNCTION("""COMPUTED_VALUE"""),"A report from Parliament's *defense* committee published on Wednesday found 
that Europe remains over-reliant on US *supplies*. Building a more 
sovereign ...")</f>
        <v>A report from Parliament's *defense* committee published on Wednesday found 
that Europe remains over-reliant on US *supplies*. Building a more 
sovereign ...</v>
      </c>
    </row>
    <row r="28" spans="1:4" ht="13" x14ac:dyDescent="0.15">
      <c r="A28" s="3" t="str">
        <f ca="1">IFERROR(__xludf.DUMMYFUNCTION("""COMPUTED_VALUE"""),"Ursa Major Raises $100M to Scale Hypersonics, Solid Rocket Motors and Space Mobility")</f>
        <v>Ursa Major Raises $100M to Scale Hypersonics, Solid Rocket Motors and Space Mobility</v>
      </c>
      <c r="B28" s="4" t="str">
        <f ca="1">IFERROR(__xludf.DUMMYFUNCTION("""COMPUTED_VALUE"""),"https://www.google.com/url?rct=j&amp;sa=t&amp;url=https://www.designdevelopmenttoday.com/industries/aerospace/news/22955133/ursa-major-raises-100m-to-scale-hypersonics-solid-rocket-motors-and-space-mobility&amp;ct=ga&amp;cd=CAIyGmEyZWM3MTRjMDNiY2Y1ZGI6Y29tOmVuOlVT&amp;usg=AO"&amp;"vVaw0pWhZsre0RkVkMQl6IFweG")</f>
        <v>https://www.google.com/url?rct=j&amp;sa=t&amp;url=https://www.designdevelopmenttoday.com/industries/aerospace/news/22955133/ursa-major-raises-100m-to-scale-hypersonics-solid-rocket-motors-and-space-mobility&amp;ct=ga&amp;cd=CAIyGmEyZWM3MTRjMDNiY2Y1ZGI6Y29tOmVuOlVT&amp;usg=AOvVaw0pWhZsre0RkVkMQl6IFweG</v>
      </c>
      <c r="C28" s="3" t="str">
        <f ca="1">IFERROR(__xludf.DUMMYFUNCTION("""COMPUTED_VALUE"""),"2025-11-18T15:21:43Z")</f>
        <v>2025-11-18T15:21:43Z</v>
      </c>
      <c r="D28" s="3" t="str">
        <f ca="1">IFERROR(__xludf.DUMMYFUNCTION("""COMPUTED_VALUE"""),"The company is building a *new factory*. November 17, 2025. Stephanie Pope 
... Boeing *Defense* Workers Ratify *New* Contract to End 3-Month Strike In 
the ...")</f>
        <v>The company is building a *new factory*. November 17, 2025. Stephanie Pope 
... Boeing *Defense* Workers Ratify *New* Contract to End 3-Month Strike In 
the ...</v>
      </c>
    </row>
    <row r="29" spans="1:4" ht="13" x14ac:dyDescent="0.15">
      <c r="A29" s="3" t="str">
        <f ca="1">IFERROR(__xludf.DUMMYFUNCTION("""COMPUTED_VALUE"""),"Palladyne AI Establishes Vertically Integrated U.S. &lt;b&gt;Defense&lt;/b&gt; Technology Pioneer Through ...")</f>
        <v>Palladyne AI Establishes Vertically Integrated U.S. &lt;b&gt;Defense&lt;/b&gt; Technology Pioneer Through ...</v>
      </c>
      <c r="B29" s="4" t="str">
        <f ca="1">IFERROR(__xludf.DUMMYFUNCTION("""COMPUTED_VALUE"""),"https://www.google.com/url?rct=j&amp;sa=t&amp;url=https://www.roboticstomorrow.com/news/2025/11/17/palladyne-ai-establishes-vertically-integrated-us-defense-technology-pioneer-through-transformative-acquisitions-delivering-advanced-avionics-precision-component-ma"&amp;"nufacturing-and-embodied-ai/25807&amp;ct=ga&amp;cd=CAIyGmEyZWM3MTRjMDNiY2Y1ZGI6Y29tOmVuOlVT&amp;usg=AOvVaw2WClZhMaoQ2XYeGT0M91dq")</f>
        <v>https://www.google.com/url?rct=j&amp;sa=t&amp;url=https://www.roboticstomorrow.com/news/2025/11/17/palladyne-ai-establishes-vertically-integrated-us-defense-technology-pioneer-through-transformative-acquisitions-delivering-advanced-avionics-precision-component-manufacturing-and-embodied-ai/25807&amp;ct=ga&amp;cd=CAIyGmEyZWM3MTRjMDNiY2Y1ZGI6Y29tOmVuOlVT&amp;usg=AOvVaw2WClZhMaoQ2XYeGT0M91dq</v>
      </c>
      <c r="C29" s="3" t="str">
        <f ca="1">IFERROR(__xludf.DUMMYFUNCTION("""COMPUTED_VALUE"""),"2025-11-17T14:47:59Z")</f>
        <v>2025-11-17T14:47:59Z</v>
      </c>
      <c r="D29" s="3" t="str">
        <f ca="1">IFERROR(__xludf.DUMMYFUNCTION("""COMPUTED_VALUE"""),"Pudu Robotics to Launch its *Newest* Embodied Robot at iREX 2025 Alongside 
*Product* Full Lineup ... *factory* floors to national *defense*. 11/17/25, 
05 ...")</f>
        <v>Pudu Robotics to Launch its *Newest* Embodied Robot at iREX 2025 Alongside 
*Product* Full Lineup ... *factory* floors to national *defense*. 11/17/25, 
05 ...</v>
      </c>
    </row>
    <row r="30" spans="1:4" ht="13" x14ac:dyDescent="0.15">
      <c r="A30" s="3" t="str">
        <f ca="1">IFERROR(__xludf.DUMMYFUNCTION("""COMPUTED_VALUE"""),"Kratos Opens &lt;b&gt;New&lt;/b&gt; 60000 Sq Ft Jerusalem &lt;b&gt;Facility&lt;/b&gt; for Microwave Electronics Division")</f>
        <v>Kratos Opens &lt;b&gt;New&lt;/b&gt; 60000 Sq Ft Jerusalem &lt;b&gt;Facility&lt;/b&gt; for Microwave Electronics Division</v>
      </c>
      <c r="B30" s="4" t="str">
        <f ca="1">IFERROR(__xludf.DUMMYFUNCTION("""COMPUTED_VALUE"""),"https://www.google.com/url?rct=j&amp;sa=t&amp;url=https://www.globenewswire.com/news-release/2025/11/17/3189062/224/en/Kratos-Opens-New-60-000-Sq-Ft-Jerusalem-Facility-for-Microwave-Electronics-Division.html&amp;ct=ga&amp;cd=CAIyGmEyZWM3MTRjMDNiY2Y1ZGI6Y29tOmVuOlVT&amp;usg=A"&amp;"OvVaw2hoFyu5GQtq_Hxw2ME4zQ2")</f>
        <v>https://www.google.com/url?rct=j&amp;sa=t&amp;url=https://www.globenewswire.com/news-release/2025/11/17/3189062/224/en/Kratos-Opens-New-60-000-Sq-Ft-Jerusalem-Facility-for-Microwave-Electronics-Division.html&amp;ct=ga&amp;cd=CAIyGmEyZWM3MTRjMDNiY2Y1ZGI6Y29tOmVuOlVT&amp;usg=AOvVaw2hoFyu5GQtq_Hxw2ME4zQ2</v>
      </c>
      <c r="C30" s="3" t="str">
        <f ca="1">IFERROR(__xludf.DUMMYFUNCTION("""COMPUTED_VALUE"""),"2025-11-17T13:08:10Z")</f>
        <v>2025-11-17T13:08:10Z</v>
      </c>
      <c r="D30" s="3" t="str">
        <f ca="1">IFERROR(__xludf.DUMMYFUNCTION("""COMPUTED_VALUE"""),"State-of-the-art clean rooms enable accelerated development of microwave 
*products*. November 17, 2025 08:00 ET | Source: Kratos *Defense* &amp; 
Security ...")</f>
        <v>State-of-the-art clean rooms enable accelerated development of microwave 
*products*. November 17, 2025 08:00 ET | Source: Kratos *Defense* &amp; 
Security ...</v>
      </c>
    </row>
    <row r="31" spans="1:4" ht="13" x14ac:dyDescent="0.15">
      <c r="A31" s="3" t="str">
        <f ca="1">IFERROR(__xludf.DUMMYFUNCTION("""COMPUTED_VALUE"""),"&lt;b&gt;New&lt;/b&gt; Drone &lt;b&gt;Manufacturing&lt;/b&gt; Hub to Boost Canada's &lt;b&gt;Defense&lt;/b&gt; Capabilities - autoevolution")</f>
        <v>&lt;b&gt;New&lt;/b&gt; Drone &lt;b&gt;Manufacturing&lt;/b&gt; Hub to Boost Canada's &lt;b&gt;Defense&lt;/b&gt; Capabilities - autoevolution</v>
      </c>
      <c r="B31" s="4" t="str">
        <f ca="1">IFERROR(__xludf.DUMMYFUNCTION("""COMPUTED_VALUE"""),"https://www.google.com/url?rct=j&amp;sa=t&amp;url=https://www.autoevolution.com/news/new-drone-manufacturing-hub-to-boost-canadas-defense-capabilities-259915.html&amp;ct=ga&amp;cd=CAIyGmEyZWM3MTRjMDNiY2Y1ZGI6Y29tOmVuOlVT&amp;usg=AOvVaw3SijnEu7MnWXu0mbA-jqI0")</f>
        <v>https://www.google.com/url?rct=j&amp;sa=t&amp;url=https://www.autoevolution.com/news/new-drone-manufacturing-hub-to-boost-canadas-defense-capabilities-259915.html&amp;ct=ga&amp;cd=CAIyGmEyZWM3MTRjMDNiY2Y1ZGI6Y29tOmVuOlVT&amp;usg=AOvVaw3SijnEu7MnWXu0mbA-jqI0</v>
      </c>
      <c r="C31" s="3" t="str">
        <f ca="1">IFERROR(__xludf.DUMMYFUNCTION("""COMPUTED_VALUE"""),"2025-10-27T09:55:28Z")</f>
        <v>2025-10-27T09:55:28Z</v>
      </c>
      <c r="D31" s="3" t="str">
        <f ca="1">IFERROR(__xludf.DUMMYFUNCTION("""COMPUTED_VALUE"""),"In the meantime, the drone expert continues to innovate and advance 
technologies outside the *defense* sector. One of its *latest products*, 
the ...")</f>
        <v>In the meantime, the drone expert continues to innovate and advance 
technologies outside the *defense* sector. One of its *latest products*, 
the ...</v>
      </c>
    </row>
    <row r="32" spans="1:4" ht="13" x14ac:dyDescent="0.15">
      <c r="A32" s="3" t="str">
        <f ca="1">IFERROR(__xludf.DUMMYFUNCTION("""COMPUTED_VALUE"""),"Earnings call transcript: NVE Corporation's Q2 2025 Performance and Strategic Focus")</f>
        <v>Earnings call transcript: NVE Corporation's Q2 2025 Performance and Strategic Focus</v>
      </c>
      <c r="B32" s="4" t="str">
        <f ca="1">IFERROR(__xludf.DUMMYFUNCTION("""COMPUTED_VALUE"""),"https://www.google.com/url?rct=j&amp;sa=t&amp;url=https://m.investing.com/news/transcripts/earnings-call-transcript-nve-corporations-q2-2025-performance-and-strategic-focus-93CH-4303196%3FampMode%3D1&amp;ct=ga&amp;cd=CAIyGmEyZWM3MTRjMDNiY2Y1ZGI6Y29tOmVuOlVT&amp;usg=AOvVaw2xj"&amp;"sSVDepPen07Hku6XTsQ")</f>
        <v>https://www.google.com/url?rct=j&amp;sa=t&amp;url=https://m.investing.com/news/transcripts/earnings-call-transcript-nve-corporations-q2-2025-performance-and-strategic-focus-93CH-4303196%3FampMode%3D1&amp;ct=ga&amp;cd=CAIyGmEyZWM3MTRjMDNiY2Y1ZGI6Y29tOmVuOlVT&amp;usg=AOvVaw2xjsSVDepPen07Hku6XTsQ</v>
      </c>
      <c r="C32" s="3" t="str">
        <f ca="1">IFERROR(__xludf.DUMMYFUNCTION("""COMPUTED_VALUE"""),"2025-10-23T02:37:03Z")</f>
        <v>2025-10-23T02:37:03Z</v>
      </c>
      <c r="D32" s="3" t="str">
        <f ca="1">IFERROR(__xludf.DUMMYFUNCTION("""COMPUTED_VALUE"""),"... *manufacturing* and *new product* development. Our tax rate increased 
to 20 ... In terms of the *defense* contracts relating to *defense products*
 ...")</f>
        <v>... *manufacturing* and *new product* development. Our tax rate increased 
to 20 ... In terms of the *defense* contracts relating to *defense products*
 ...</v>
      </c>
    </row>
    <row r="33" spans="1:4" ht="13" x14ac:dyDescent="0.15">
      <c r="A33" s="3" t="str">
        <f ca="1">IFERROR(__xludf.DUMMYFUNCTION("""COMPUTED_VALUE"""),"Rare earth refinery in N.H. challenges China — in a small way - The Boston Globe")</f>
        <v>Rare earth refinery in N.H. challenges China — in a small way - The Boston Globe</v>
      </c>
      <c r="B33" s="4" t="str">
        <f ca="1">IFERROR(__xludf.DUMMYFUNCTION("""COMPUTED_VALUE"""),"https://www.google.com/url?rct=j&amp;sa=t&amp;url=https://www.bostonglobe.com/2025/10/22/business/phoenix-tailings-rare-earths-china-factory/&amp;ct=ga&amp;cd=CAIyGmEyZWM3MTRjMDNiY2Y1ZGI6Y29tOmVuOlVT&amp;usg=AOvVaw3_F5C-1hVZusLQKHkx4TMD")</f>
        <v>https://www.google.com/url?rct=j&amp;sa=t&amp;url=https://www.bostonglobe.com/2025/10/22/business/phoenix-tailings-rare-earths-china-factory/&amp;ct=ga&amp;cd=CAIyGmEyZWM3MTRjMDNiY2Y1ZGI6Y29tOmVuOlVT&amp;usg=AOvVaw3_F5C-1hVZusLQKHkx4TMD</v>
      </c>
      <c r="C33" s="3" t="str">
        <f ca="1">IFERROR(__xludf.DUMMYFUNCTION("""COMPUTED_VALUE"""),"2025-10-22T18:38:39Z")</f>
        <v>2025-10-22T18:38:39Z</v>
      </c>
      <c r="D33" s="3" t="str">
        <f ca="1">IFERROR(__xludf.DUMMYFUNCTION("""COMPUTED_VALUE"""),"... *defense* contractors won't run out. Phoenix Tailings recently fired up 
production at a *new factory* in Exeter, N.H. which is already producing 
rare ...")</f>
        <v>... *defense* contractors won't run out. Phoenix Tailings recently fired up 
production at a *new factory* in Exeter, N.H. which is already producing 
rare ...</v>
      </c>
    </row>
    <row r="34" spans="1:4" ht="13" x14ac:dyDescent="0.15">
      <c r="A34" s="3" t="str">
        <f ca="1">IFERROR(__xludf.DUMMYFUNCTION("""COMPUTED_VALUE"""),"The government has opened access to &lt;b&gt;Defense&lt;/b&gt; Ministry technologies to manufacturers and ...")</f>
        <v>The government has opened access to &lt;b&gt;Defense&lt;/b&gt; Ministry technologies to manufacturers and ...</v>
      </c>
      <c r="B34" s="4" t="str">
        <f ca="1">IFERROR(__xludf.DUMMYFUNCTION("""COMPUTED_VALUE"""),"https://www.google.com/url?rct=j&amp;sa=t&amp;url=https://dev.ua/en/news/uriad-vidkryv-vyrobnykam-dostup-do-tekhnolohii-minoborony-i-zapustyv-mekhanizm-dlia-ikhnoho-seriinoho-vypusku-1760451420&amp;ct=ga&amp;cd=CAIyGmEyZWM3MTRjMDNiY2Y1ZGI6Y29tOmVuOlVT&amp;usg=AOvVaw3g2CLV-Xd"&amp;"I-uKNBAY5LRsw")</f>
        <v>https://www.google.com/url?rct=j&amp;sa=t&amp;url=https://dev.ua/en/news/uriad-vidkryv-vyrobnykam-dostup-do-tekhnolohii-minoborony-i-zapustyv-mekhanizm-dlia-ikhnoho-seriinoho-vypusku-1760451420&amp;ct=ga&amp;cd=CAIyGmEyZWM3MTRjMDNiY2Y1ZGI6Y29tOmVuOlVT&amp;usg=AOvVaw3g2CLV-XdI-uKNBAY5LRsw</v>
      </c>
      <c r="C34" s="3" t="str">
        <f ca="1">IFERROR(__xludf.DUMMYFUNCTION("""COMPUTED_VALUE"""),"2025-10-14T15:32:47Z")</f>
        <v>2025-10-14T15:32:47Z</v>
      </c>
      <c r="D34" s="3" t="str">
        <f ca="1">IFERROR(__xludf.DUMMYFUNCTION("""COMPUTED_VALUE"""),"For the front, this means faster saturation with proven models, a wider 
range of *products*, and less dependence on a single *manufacturer*. The ...")</f>
        <v>For the front, this means faster saturation with proven models, a wider 
range of *products*, and less dependence on a single *manufacturer*. The ...</v>
      </c>
    </row>
    <row r="35" spans="1:4" ht="13" x14ac:dyDescent="0.15">
      <c r="A35" s="3" t="str">
        <f ca="1">IFERROR(__xludf.DUMMYFUNCTION("""COMPUTED_VALUE"""),"Sunita Tools Hosts Thai &lt;b&gt;Defence&lt;/b&gt; Ministry Delegates for Artillery Shell Discussions - ScanX")</f>
        <v>Sunita Tools Hosts Thai &lt;b&gt;Defence&lt;/b&gt; Ministry Delegates for Artillery Shell Discussions - ScanX</v>
      </c>
      <c r="B35" s="4" t="str">
        <f ca="1">IFERROR(__xludf.DUMMYFUNCTION("""COMPUTED_VALUE"""),"https://www.google.com/url?rct=j&amp;sa=t&amp;url=https://scanx.trade/stock-market-news/orders-deals/sunita-tools-hosts-thai-defence-ministry-delegates-for-artillery-shell-discussions/21372475&amp;ct=ga&amp;cd=CAIyGmEyZWM3MTRjMDNiY2Y1ZGI6Y29tOmVuOlVT&amp;usg=AOvVaw26j-HPKHoJ"&amp;"Ffjo1b6OEABw")</f>
        <v>https://www.google.com/url?rct=j&amp;sa=t&amp;url=https://scanx.trade/stock-market-news/orders-deals/sunita-tools-hosts-thai-defence-ministry-delegates-for-artillery-shell-discussions/21372475&amp;ct=ga&amp;cd=CAIyGmEyZWM3MTRjMDNiY2Y1ZGI6Y29tOmVuOlVT&amp;usg=AOvVaw26j-HPKHoJFfjo1b6OEABw</v>
      </c>
      <c r="C35" s="3" t="str">
        <f ca="1">IFERROR(__xludf.DUMMYFUNCTION("""COMPUTED_VALUE"""),"2025-10-07T08:52:30Z")</f>
        <v>2025-10-07T08:52:30Z</v>
      </c>
      <c r="D35" s="3" t="str">
        <f ca="1">IFERROR(__xludf.DUMMYFUNCTION("""COMPUTED_VALUE"""),"Aerospace; *Defence*. With this *latest* certification, Sunita Tools 
reinforces its position as a quality-focused *manufacturer* in the *defense 
product* ...")</f>
        <v>Aerospace; *Defence*. With this *latest* certification, Sunita Tools 
reinforces its position as a quality-focused *manufacturer* in the *defense 
product* ...</v>
      </c>
    </row>
    <row r="36" spans="1:4" ht="13" x14ac:dyDescent="0.15">
      <c r="A36" s="3" t="str">
        <f ca="1">IFERROR(__xludf.DUMMYFUNCTION("""COMPUTED_VALUE"""),"Tata's &lt;b&gt;Defense&lt;/b&gt; Unit Opens &lt;b&gt;New&lt;/b&gt; Combat Vehicle &lt;b&gt;Manufacturing Facility&lt;/b&gt; In Morocco")</f>
        <v>Tata's &lt;b&gt;Defense&lt;/b&gt; Unit Opens &lt;b&gt;New&lt;/b&gt; Combat Vehicle &lt;b&gt;Manufacturing Facility&lt;/b&gt; In Morocco</v>
      </c>
      <c r="B36" s="4" t="str">
        <f ca="1">IFERROR(__xludf.DUMMYFUNCTION("""COMPUTED_VALUE"""),"https://www.google.com/url?rct=j&amp;sa=t&amp;url=https://stocktwits.com/news-articles/markets/equity/tata-s-defense-unit-opens-new-combat-vehicle-manufacturing-facility-in-morocco/chDhqEZR3Pw&amp;ct=ga&amp;cd=CAIyGmEyZWM3MTRjMDNiY2Y1ZGI6Y29tOmVuOlVT&amp;usg=AOvVaw0V0wwFdi-a"&amp;"uiuaFagYXAhs")</f>
        <v>https://www.google.com/url?rct=j&amp;sa=t&amp;url=https://stocktwits.com/news-articles/markets/equity/tata-s-defense-unit-opens-new-combat-vehicle-manufacturing-facility-in-morocco/chDhqEZR3Pw&amp;ct=ga&amp;cd=CAIyGmEyZWM3MTRjMDNiY2Y1ZGI6Y29tOmVuOlVT&amp;usg=AOvVaw0V0wwFdi-auiuaFagYXAhs</v>
      </c>
      <c r="C36" s="3" t="str">
        <f ca="1">IFERROR(__xludf.DUMMYFUNCTION("""COMPUTED_VALUE"""),"2025-09-23T10:13:34Z")</f>
        <v>2025-09-23T10:13:34Z</v>
      </c>
      <c r="D36" s="3" t="str">
        <f ca="1">IFERROR(__xludf.DUMMYFUNCTION("""COMPUTED_VALUE"""),"Meanwhile, U.S. tariffs under President Donald Trump have become a 
substantial headwind for the company, as it manufactures the bulk of its 
*products* ...")</f>
        <v>Meanwhile, U.S. tariffs under President Donald Trump have become a 
substantial headwind for the company, as it manufactures the bulk of its 
*products* ...</v>
      </c>
    </row>
  </sheetData>
  <hyperlinks>
    <hyperlink ref="B2" r:id="rId1" display="https://www.google.com/url?rct=j&amp;sa=t&amp;url=https://www.lelezard.com/en/news-22065344.html&amp;ct=ga&amp;cd=CAIyHDEzYWM2MTZjN2IyNDZmMjI6Y29tOmVuOlVTOlI&amp;usg=AOvVaw0bDyXevXeNCNyO7Hg09nfV" xr:uid="{00000000-0004-0000-0100-000000000000}"/>
    <hyperlink ref="B3" r:id="rId2" display="https://www.google.com/url?rct=j&amp;sa=t&amp;url=https://www.eplaneai.com/zh/news/mcnally-capital-acquires-pt6a-mro-specialist-ats&amp;ct=ga&amp;cd=CAIyHDEzYWM2MTZjN2IyNDZmMjI6Y29tOmVuOlVTOlI&amp;usg=AOvVaw10rKGZ2kXSNYDNwXc_xHmp" xr:uid="{00000000-0004-0000-0100-000001000000}"/>
    <hyperlink ref="B4" r:id="rId3" display="https://www.google.com/url?rct=j&amp;sa=t&amp;url=https://www.businesswire.com/news/home/20251218293092/en/McNally-Capital-Makes-Strategic-Investment-in-Airforce-Turbine-Service-a-Leading-Global-Aviation-Services-Company&amp;ct=ga&amp;cd=CAIyHDEzYWM2MTZjN2IyNDZmMjI6Y29tOmVuOlVTOlI&amp;usg=AOvVaw3H6r3r77PFy9eXSAyksyng" xr:uid="{00000000-0004-0000-0100-000002000000}"/>
    <hyperlink ref="B5" r:id="rId4" display="https://www.google.com/url?rct=j&amp;sa=t&amp;url=https://www.stocktitan.net/news/CG/vantage-group-holdings-to-be-acquired-by-howard-hughes-4uwvrcm6be9e.html&amp;ct=ga&amp;cd=CAIyHDEzYWM2MTZjN2IyNDZmMjI6Y29tOmVuOlVTOlI&amp;usg=AOvVaw2x-u8v5L44LhbGzoUP-lNe" xr:uid="{00000000-0004-0000-0100-000004000000}"/>
    <hyperlink ref="B6" r:id="rId5" display="https://www.google.com/url?rct=j&amp;sa=t&amp;url=https://www.stocktitan.net/news/NUKK/nukkleus-inc-receives-shareholder-approval-to-acquire-star-26-xr3buzgyi0wm.html&amp;ct=ga&amp;cd=CAIyHDEzYWM2MTZjN2IyNDZmMjI6Y29tOmVuOlVTOlI&amp;usg=AOvVaw0sfnOp4zg4iiP9p-5nVf-0" xr:uid="{00000000-0004-0000-0100-000006000000}"/>
    <hyperlink ref="B7" r:id="rId6" display="https://www.google.com/url?rct=j&amp;sa=t&amp;url=https://www.businesswire.com/news/home/20251211368812/en/Aretum-Announces-Acquisition-of-Veterans-Engineering-Expanding-Federal-IT-Cyber-and-Cloud-Capabilities&amp;ct=ga&amp;cd=CAIyHDEzYWM2MTZjN2IyNDZmMjI6Y29tOmVuOlVTOlI&amp;usg=AOvVaw2ypWCvZVg5uago_JZgpmpu" xr:uid="{00000000-0004-0000-0100-000007000000}"/>
    <hyperlink ref="B8" r:id="rId7" display="https://www.google.com/url?rct=j&amp;sa=t&amp;url=https://pulse2.com/cvc-smiths-detection/&amp;ct=ga&amp;cd=CAIyHDEzYWM2MTZjN2IyNDZmMjI6Y29tOmVuOlVTOlI&amp;usg=AOvVaw3LDilTKQR6x2ZsgVCBxSFU" xr:uid="{00000000-0004-0000-0100-000009000000}"/>
    <hyperlink ref="B9" r:id="rId8" display="https://www.google.com/url?rct=j&amp;sa=t&amp;url=https://www.bizjournals.com/washington/news/2025/12/10/dc-area-tech-firms-nine-figure-deals.html&amp;ct=ga&amp;cd=CAIyHDEzYWM2MTZjN2IyNDZmMjI6Y29tOmVuOlVTOlI&amp;usg=AOvVaw3HXnAdPg_GtbKtRlXo-PjC" xr:uid="{00000000-0004-0000-0100-00000A000000}"/>
    <hyperlink ref="B10" r:id="rId9" display="https://www.google.com/url?rct=j&amp;sa=t&amp;url=https://www.medicaleconomics.com/view/in-defense-of-private-equity-with-jared-rhoads-m-s-m-p-h-of-the-center-for-modern-health&amp;ct=ga&amp;cd=CAIyHDEzYWM2MTZjN2IyNDZmMjI6Y29tOmVuOlVTOlI&amp;usg=AOvVaw2gsK1JmnGXzvdaG3GX-prf" xr:uid="{00000000-0004-0000-0100-00000B000000}"/>
    <hyperlink ref="B11" r:id="rId10" display="https://www.google.com/url?rct=j&amp;sa=t&amp;url=https://www.hklaw.com/en/news/pressreleases/2025/12/holland-knight-advises-electrosoft-services-in-strategic-investmeny&amp;ct=ga&amp;cd=CAIyHDEzYWM2MTZjN2IyNDZmMjI6Y29tOmVuOlVTOlI&amp;usg=AOvVaw0U6RwEMWrERxUatjq6bVI4" xr:uid="{00000000-0004-0000-0100-00000D000000}"/>
    <hyperlink ref="B12" r:id="rId11" display="https://www.google.com/url?rct=j&amp;sa=t&amp;url=https://www.pehub.com/greenbriar-unveils-applied-aerospace-defense/&amp;ct=ga&amp;cd=CAIyHDEzYWM2MTZjN2IyNDZmMjI6Y29tOmVuOlVTOlI&amp;usg=AOvVaw3UdZPeqQFBij4G859ZSd9d" xr:uid="{00000000-0004-0000-0100-00000F000000}"/>
    <hyperlink ref="B13" r:id="rId12" display="https://www.google.com/url?rct=j&amp;sa=t&amp;url=https://www.bizjournals.com/washington/news/2025/12/04/red-river-invictus-defense-acquisition.html&amp;ct=ga&amp;cd=CAIyHDEzYWM2MTZjN2IyNDZmMjI6Y29tOmVuOlVTOlI&amp;usg=AOvVaw2veML6wHJ3xbDAyz0t197V" xr:uid="{00000000-0004-0000-0100-000010000000}"/>
    <hyperlink ref="B14" r:id="rId13" display="https://www.google.com/url?rct=j&amp;sa=t&amp;url=https://www.govconwire.com/articles/synergy-ecp-acquires-netservices&amp;ct=ga&amp;cd=CAIyHDEzYWM2MTZjN2IyNDZmMjI6Y29tOmVuOlVTOlI&amp;usg=AOvVaw24fW6f3zRtG_STqxooeS1m" xr:uid="{00000000-0004-0000-0100-000011000000}"/>
    <hyperlink ref="B15" r:id="rId14" display="https://www.google.com/url?rct=j&amp;sa=t&amp;url=https://www.tradingview.com/news/reuters.com,2025-12-04:newsml_MFN93yqh1:0-inside-information-incap-acquires-lacon-group-strengthening-its-position-in-the-fast-growing-defense-sector-and-expanding-offering-to-design-and-development-services/&amp;ct=ga&amp;cd=CAIyHDEzYWM2MTZjN2IyNDZmMjI6Y29tOmVuOlVTOlI&amp;usg=AOvVaw3Sz5P9E6f17KF9W1kwBK76" xr:uid="{00000000-0004-0000-0100-000013000000}"/>
    <hyperlink ref="B17" r:id="rId15" display="https://www.google.com/url?rct=j&amp;sa=t&amp;url=https://www.tipranks.com/news/weekend-updates/rocket-lab-usa-soars-as-massive-defense-deal-lands&amp;ct=ga&amp;cd=CAIyHDMxNmE1OTNkZTEyZjQ2YTM6Y29tOmVuOlVTOlI&amp;usg=AOvVaw2ec2JClsRNqx2Dz2qc2U2E" xr:uid="{00000000-0004-0000-0100-000020000000}"/>
    <hyperlink ref="B18" r:id="rId16" display="https://www.google.com/url?rct=j&amp;sa=t&amp;url=https://www.ctpost.com/news/politics/article/president-trump-orders-divestment-in-2-9-million-21273498.php&amp;ct=ga&amp;cd=CAIyHDMxNmE1OTNkZTEyZjQ2YTM6Y29tOmVuOlVTOlI&amp;usg=AOvVaw15zCctxhWxEyTfDBbEyrzM" xr:uid="{00000000-0004-0000-0100-000021000000}"/>
    <hyperlink ref="B19" r:id="rId17" display="https://www.google.com/url?rct=j&amp;sa=t&amp;url=https://seekingalpha.com/article/4856884-churchill-capital-x-reading-the-tea-leaves-on-infleqtion&amp;ct=ga&amp;cd=CAIyHDMxNmE1OTNkZTEyZjQ2YTM6Y29tOmVuOlVTOlI&amp;usg=AOvVaw0zrXwijqAw9ZqHRB7CzGYL" xr:uid="{00000000-0004-0000-0100-000024000000}"/>
    <hyperlink ref="B20" r:id="rId18" display="https://www.google.com/url?rct=j&amp;sa=t&amp;url=https://www.aljazeera.com/news/liveblog/2026/1/3/live-loud-noises-heard-in-venezuelas-capital-amid-us-tensions&amp;ct=ga&amp;cd=CAIyHDMxNmE1OTNkZTEyZjQ2YTM6Y29tOmVuOlVTOlI&amp;usg=AOvVaw2zMJIK3ht-wcYhy5gghrtq" xr:uid="{00000000-0004-0000-0100-000025000000}"/>
    <hyperlink ref="B21" r:id="rId19" display="https://www.google.com/url?rct=j&amp;sa=t&amp;url=https://www.voxelmatters.com/aml3d-reports-strong-2025-growth-with-new-defense-contracts-and-u-s-expansion/&amp;ct=ga&amp;cd=CAIyGmEyZWM3MTRjMDNiY2Y1ZGI6Y29tOmVuOlVT&amp;usg=AOvVaw0vttwnO9cny7Wr1NmkPLg0" xr:uid="{00000000-0004-0000-0100-000029000000}"/>
    <hyperlink ref="B22" r:id="rId20" display="https://www.google.com/url?rct=j&amp;sa=t&amp;url=https://news.ssbcrack.com/lithuania-plans-record-defense-spending-with-new-state-owned-defense-holding-and-major-military-acquisitions/&amp;ct=ga&amp;cd=CAIyGmEyZWM3MTRjMDNiY2Y1ZGI6Y29tOmVuOlVT&amp;usg=AOvVaw1qmYVWHR17GpCHUlIk2U3L" xr:uid="{00000000-0004-0000-0100-00002A000000}"/>
    <hyperlink ref="B23" r:id="rId21" display="https://www.google.com/url?rct=j&amp;sa=t&amp;url=https://themachinemaker.com/news/bae-systems-introduces-onearc-a-new-commercial-defense-technology-platform/&amp;ct=ga&amp;cd=CAIyGmEyZWM3MTRjMDNiY2Y1ZGI6Y29tOmVuOlVT&amp;usg=AOvVaw0IN1cZMS-5wM8Rho8yXYWa" xr:uid="{00000000-0004-0000-0100-00002B000000}"/>
    <hyperlink ref="B24" r:id="rId22" display="https://www.google.com/url?rct=j&amp;sa=t&amp;url=https://www.armyrecognition.com/news/defense-web-tv/edex-2025-day-2-egypt-unveils-cutting-edge-defense-systems-and-new-military-products&amp;ct=ga&amp;cd=CAIyGmEyZWM3MTRjMDNiY2Y1ZGI6Y29tOmVuOlVT&amp;usg=AOvVaw2C9CuRvgT1aqO8UP1vZmTs" xr:uid="{00000000-0004-0000-0100-00002C000000}"/>
    <hyperlink ref="B25" r:id="rId23" display="https://www.google.com/url?rct=j&amp;sa=t&amp;url=https://www.designdevelopmenttoday.com/industries/iot/news/22955964/bae-systems-launches-velhawk-cybersecurity-solutions-to-accelerate-cyber-defense&amp;ct=ga&amp;cd=CAIyGmEyZWM3MTRjMDNiY2Y1ZGI6Y29tOmVuOlVT&amp;usg=AOvVaw0xou61WsxjTrVbiTE93Jdb" xr:uid="{00000000-0004-0000-0100-00002E000000}"/>
    <hyperlink ref="B26" r:id="rId24" display="https://www.google.com/url?rct=j&amp;sa=t&amp;url=https://thedefensepost.com/2025/11/28/hanwha-systems-production-facility/&amp;ct=ga&amp;cd=CAIyGmEyZWM3MTRjMDNiY2Y1ZGI6Y29tOmVuOlVT&amp;usg=AOvVaw38yTEEIld28-QLygEZSjld" xr:uid="{00000000-0004-0000-0100-00002F000000}"/>
    <hyperlink ref="B27" r:id="rId25" display="https://www.google.com/url?rct=j&amp;sa=t&amp;url=https://www.bloomberg.com/news/articles/2025-11-19/uk-pinpoints-13-new-sites-to-end-reliance-on-foreign-explosives&amp;ct=ga&amp;cd=CAIyGmEyZWM3MTRjMDNiY2Y1ZGI6Y29tOmVuOlVT&amp;usg=AOvVaw26ddsdkN1E9dnI5_rmN25m" xr:uid="{00000000-0004-0000-0100-000030000000}"/>
    <hyperlink ref="B28" r:id="rId26" display="https://www.google.com/url?rct=j&amp;sa=t&amp;url=https://www.designdevelopmenttoday.com/industries/aerospace/news/22955133/ursa-major-raises-100m-to-scale-hypersonics-solid-rocket-motors-and-space-mobility&amp;ct=ga&amp;cd=CAIyGmEyZWM3MTRjMDNiY2Y1ZGI6Y29tOmVuOlVT&amp;usg=AOvVaw0pWhZsre0RkVkMQl6IFweG" xr:uid="{00000000-0004-0000-0100-000031000000}"/>
    <hyperlink ref="B29" r:id="rId27" display="https://www.google.com/url?rct=j&amp;sa=t&amp;url=https://www.roboticstomorrow.com/news/2025/11/17/palladyne-ai-establishes-vertically-integrated-us-defense-technology-pioneer-through-transformative-acquisitions-delivering-advanced-avionics-precision-component-manufacturing-and-embodied-ai/25807&amp;ct=ga&amp;cd=CAIyGmEyZWM3MTRjMDNiY2Y1ZGI6Y29tOmVuOlVT&amp;usg=AOvVaw2WClZhMaoQ2XYeGT0M91dq" xr:uid="{00000000-0004-0000-0100-000033000000}"/>
    <hyperlink ref="B30" r:id="rId28" display="https://www.google.com/url?rct=j&amp;sa=t&amp;url=https://www.globenewswire.com/news-release/2025/11/17/3189062/224/en/Kratos-Opens-New-60-000-Sq-Ft-Jerusalem-Facility-for-Microwave-Electronics-Division.html&amp;ct=ga&amp;cd=CAIyGmEyZWM3MTRjMDNiY2Y1ZGI6Y29tOmVuOlVT&amp;usg=AOvVaw2hoFyu5GQtq_Hxw2ME4zQ2" xr:uid="{00000000-0004-0000-0100-000034000000}"/>
    <hyperlink ref="B31" r:id="rId29" display="https://www.google.com/url?rct=j&amp;sa=t&amp;url=https://www.autoevolution.com/news/new-drone-manufacturing-hub-to-boost-canadas-defense-capabilities-259915.html&amp;ct=ga&amp;cd=CAIyGmEyZWM3MTRjMDNiY2Y1ZGI6Y29tOmVuOlVT&amp;usg=AOvVaw3SijnEu7MnWXu0mbA-jqI0" xr:uid="{00000000-0004-0000-0100-000036000000}"/>
    <hyperlink ref="B32" r:id="rId30" display="https://www.google.com/url?rct=j&amp;sa=t&amp;url=https://m.investing.com/news/transcripts/earnings-call-transcript-nve-corporations-q2-2025-performance-and-strategic-focus-93CH-4303196%3FampMode%3D1&amp;ct=ga&amp;cd=CAIyGmEyZWM3MTRjMDNiY2Y1ZGI6Y29tOmVuOlVT&amp;usg=AOvVaw2xjsSVDepPen07Hku6XTsQ" xr:uid="{00000000-0004-0000-0100-000037000000}"/>
    <hyperlink ref="B33" r:id="rId31" display="https://www.google.com/url?rct=j&amp;sa=t&amp;url=https://www.bostonglobe.com/2025/10/22/business/phoenix-tailings-rare-earths-china-factory/&amp;ct=ga&amp;cd=CAIyGmEyZWM3MTRjMDNiY2Y1ZGI6Y29tOmVuOlVT&amp;usg=AOvVaw3_F5C-1hVZusLQKHkx4TMD" xr:uid="{00000000-0004-0000-0100-000038000000}"/>
    <hyperlink ref="B34" r:id="rId32" display="https://www.google.com/url?rct=j&amp;sa=t&amp;url=https://dev.ua/en/news/uriad-vidkryv-vyrobnykam-dostup-do-tekhnolohii-minoborony-i-zapustyv-mekhanizm-dlia-ikhnoho-seriinoho-vypusku-1760451420&amp;ct=ga&amp;cd=CAIyGmEyZWM3MTRjMDNiY2Y1ZGI6Y29tOmVuOlVT&amp;usg=AOvVaw3g2CLV-XdI-uKNBAY5LRsw" xr:uid="{00000000-0004-0000-0100-000039000000}"/>
    <hyperlink ref="B35" r:id="rId33" display="https://www.google.com/url?rct=j&amp;sa=t&amp;url=https://scanx.trade/stock-market-news/orders-deals/sunita-tools-hosts-thai-defence-ministry-delegates-for-artillery-shell-discussions/21372475&amp;ct=ga&amp;cd=CAIyGmEyZWM3MTRjMDNiY2Y1ZGI6Y29tOmVuOlVT&amp;usg=AOvVaw26j-HPKHoJFfjo1b6OEABw" xr:uid="{00000000-0004-0000-0100-00003A000000}"/>
    <hyperlink ref="B36" r:id="rId34" display="https://www.google.com/url?rct=j&amp;sa=t&amp;url=https://stocktwits.com/news-articles/markets/equity/tata-s-defense-unit-opens-new-combat-vehicle-manufacturing-facility-in-morocco/chDhqEZR3Pw&amp;ct=ga&amp;cd=CAIyGmEyZWM3MTRjMDNiY2Y1ZGI6Y29tOmVuOlVT&amp;usg=AOvVaw0V0wwFdi-auiuaFagYXAhs" xr:uid="{00000000-0004-0000-0100-00003B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 summaryRight="0"/>
  </sheetPr>
  <dimension ref="A1:F993"/>
  <sheetViews>
    <sheetView tabSelected="1" workbookViewId="0">
      <selection activeCell="A135" sqref="A135"/>
    </sheetView>
  </sheetViews>
  <sheetFormatPr baseColWidth="10" defaultColWidth="12.6640625" defaultRowHeight="15.75" customHeight="1" x14ac:dyDescent="0.15"/>
  <cols>
    <col min="1" max="1" width="56.83203125" customWidth="1"/>
    <col min="3" max="3" width="19.1640625" customWidth="1"/>
  </cols>
  <sheetData>
    <row r="1" spans="1:6" ht="13" x14ac:dyDescent="0.15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</row>
    <row r="2" spans="1:6" ht="13" hidden="1" x14ac:dyDescent="0.15">
      <c r="A2" s="3" t="s">
        <v>9</v>
      </c>
      <c r="B2" s="4" t="s">
        <v>10</v>
      </c>
      <c r="C2" s="3" t="s">
        <v>11</v>
      </c>
      <c r="D2" s="3" t="s">
        <v>12</v>
      </c>
      <c r="E2" s="3" t="b">
        <f ca="1">IFERROR(__xludf.DUMMYFUNCTION("ARRAYFORMULA(
  IF(A2:A1001 = """", """",
    REGEXMATCH(
      LOWER(A2:A1001 &amp; "" "" &amp; D2:D1001),
      ""(factory|facility|plant|build|breaks ground|expands|investment of \$|million|dual-use|R&amp;D|laboratory|defense|equipment)""
    )
  )
)
"),TRUE)</f>
        <v>1</v>
      </c>
      <c r="F2" s="3" t="s">
        <v>13</v>
      </c>
    </row>
    <row r="3" spans="1:6" ht="13" hidden="1" x14ac:dyDescent="0.15">
      <c r="A3" s="3" t="s">
        <v>14</v>
      </c>
      <c r="B3" s="4" t="s">
        <v>15</v>
      </c>
      <c r="C3" s="3" t="s">
        <v>16</v>
      </c>
      <c r="D3" s="3" t="s">
        <v>17</v>
      </c>
      <c r="E3" s="3" t="b">
        <f ca="1">IFERROR(__xludf.DUMMYFUNCTION("""COMPUTED_VALUE"""),TRUE)</f>
        <v>1</v>
      </c>
      <c r="F3" s="3" t="s">
        <v>13</v>
      </c>
    </row>
    <row r="4" spans="1:6" ht="13" hidden="1" x14ac:dyDescent="0.15">
      <c r="A4" s="3" t="s">
        <v>18</v>
      </c>
      <c r="B4" s="4" t="s">
        <v>19</v>
      </c>
      <c r="C4" s="3" t="s">
        <v>20</v>
      </c>
      <c r="D4" s="3" t="s">
        <v>21</v>
      </c>
      <c r="E4" s="3" t="b">
        <f ca="1">IFERROR(__xludf.DUMMYFUNCTION("""COMPUTED_VALUE"""),FALSE)</f>
        <v>0</v>
      </c>
      <c r="F4" s="3" t="s">
        <v>13</v>
      </c>
    </row>
    <row r="5" spans="1:6" ht="13" hidden="1" x14ac:dyDescent="0.15">
      <c r="A5" s="3" t="s">
        <v>22</v>
      </c>
      <c r="B5" s="4" t="s">
        <v>23</v>
      </c>
      <c r="C5" s="3" t="s">
        <v>24</v>
      </c>
      <c r="D5" s="3" t="s">
        <v>25</v>
      </c>
      <c r="E5" s="3" t="b">
        <f ca="1">IFERROR(__xludf.DUMMYFUNCTION("""COMPUTED_VALUE"""),TRUE)</f>
        <v>1</v>
      </c>
      <c r="F5" s="3" t="s">
        <v>13</v>
      </c>
    </row>
    <row r="6" spans="1:6" ht="13" hidden="1" x14ac:dyDescent="0.15">
      <c r="A6" s="3" t="s">
        <v>26</v>
      </c>
      <c r="B6" s="4" t="s">
        <v>27</v>
      </c>
      <c r="C6" s="3" t="s">
        <v>24</v>
      </c>
      <c r="D6" s="3" t="s">
        <v>28</v>
      </c>
      <c r="E6" s="3" t="b">
        <f ca="1">IFERROR(__xludf.DUMMYFUNCTION("""COMPUTED_VALUE"""),TRUE)</f>
        <v>1</v>
      </c>
      <c r="F6" s="3" t="s">
        <v>13</v>
      </c>
    </row>
    <row r="7" spans="1:6" ht="13" x14ac:dyDescent="0.15">
      <c r="A7" s="3" t="s">
        <v>29</v>
      </c>
      <c r="B7" s="4" t="s">
        <v>30</v>
      </c>
      <c r="C7" s="3" t="s">
        <v>31</v>
      </c>
      <c r="D7" s="3" t="s">
        <v>32</v>
      </c>
      <c r="E7" s="3" t="b">
        <f ca="1">IFERROR(__xludf.DUMMYFUNCTION("""COMPUTED_VALUE"""),TRUE)</f>
        <v>1</v>
      </c>
      <c r="F7" s="3" t="s">
        <v>33</v>
      </c>
    </row>
    <row r="8" spans="1:6" ht="13" x14ac:dyDescent="0.15">
      <c r="A8" s="3" t="s">
        <v>34</v>
      </c>
      <c r="B8" s="4" t="s">
        <v>35</v>
      </c>
      <c r="C8" s="3" t="s">
        <v>36</v>
      </c>
      <c r="D8" s="3" t="s">
        <v>37</v>
      </c>
      <c r="E8" s="3" t="b">
        <f ca="1">IFERROR(__xludf.DUMMYFUNCTION("""COMPUTED_VALUE"""),TRUE)</f>
        <v>1</v>
      </c>
      <c r="F8" s="3" t="s">
        <v>33</v>
      </c>
    </row>
    <row r="9" spans="1:6" ht="13" hidden="1" x14ac:dyDescent="0.15">
      <c r="A9" s="3" t="s">
        <v>38</v>
      </c>
      <c r="B9" s="4" t="s">
        <v>39</v>
      </c>
      <c r="C9" s="3" t="s">
        <v>40</v>
      </c>
      <c r="D9" s="3" t="s">
        <v>41</v>
      </c>
      <c r="E9" s="3" t="b">
        <f ca="1">IFERROR(__xludf.DUMMYFUNCTION("""COMPUTED_VALUE"""),TRUE)</f>
        <v>1</v>
      </c>
      <c r="F9" s="3" t="s">
        <v>13</v>
      </c>
    </row>
    <row r="10" spans="1:6" ht="13" hidden="1" x14ac:dyDescent="0.15">
      <c r="A10" s="3" t="s">
        <v>42</v>
      </c>
      <c r="B10" s="4" t="s">
        <v>43</v>
      </c>
      <c r="C10" s="3" t="s">
        <v>44</v>
      </c>
      <c r="D10" s="3" t="s">
        <v>45</v>
      </c>
      <c r="E10" s="3" t="b">
        <f ca="1">IFERROR(__xludf.DUMMYFUNCTION("""COMPUTED_VALUE"""),TRUE)</f>
        <v>1</v>
      </c>
      <c r="F10" s="3" t="s">
        <v>13</v>
      </c>
    </row>
    <row r="11" spans="1:6" ht="13" x14ac:dyDescent="0.15">
      <c r="A11" s="3" t="s">
        <v>46</v>
      </c>
      <c r="B11" s="4" t="s">
        <v>47</v>
      </c>
      <c r="C11" s="3" t="s">
        <v>48</v>
      </c>
      <c r="D11" s="3" t="s">
        <v>49</v>
      </c>
      <c r="E11" s="3" t="b">
        <f ca="1">IFERROR(__xludf.DUMMYFUNCTION("""COMPUTED_VALUE"""),TRUE)</f>
        <v>1</v>
      </c>
      <c r="F11" s="3" t="s">
        <v>33</v>
      </c>
    </row>
    <row r="12" spans="1:6" ht="13" x14ac:dyDescent="0.15">
      <c r="A12" s="3" t="s">
        <v>50</v>
      </c>
      <c r="B12" s="4" t="s">
        <v>51</v>
      </c>
      <c r="C12" s="3" t="s">
        <v>52</v>
      </c>
      <c r="D12" s="3" t="s">
        <v>53</v>
      </c>
      <c r="E12" s="3" t="b">
        <f ca="1">IFERROR(__xludf.DUMMYFUNCTION("""COMPUTED_VALUE"""),TRUE)</f>
        <v>1</v>
      </c>
      <c r="F12" s="3" t="s">
        <v>54</v>
      </c>
    </row>
    <row r="13" spans="1:6" ht="13" hidden="1" x14ac:dyDescent="0.15">
      <c r="A13" s="3" t="s">
        <v>55</v>
      </c>
      <c r="B13" s="4" t="s">
        <v>56</v>
      </c>
      <c r="C13" s="3" t="s">
        <v>57</v>
      </c>
      <c r="D13" s="3" t="s">
        <v>58</v>
      </c>
      <c r="E13" s="3" t="b">
        <f ca="1">IFERROR(__xludf.DUMMYFUNCTION("""COMPUTED_VALUE"""),TRUE)</f>
        <v>1</v>
      </c>
      <c r="F13" s="3" t="s">
        <v>13</v>
      </c>
    </row>
    <row r="14" spans="1:6" ht="13" hidden="1" x14ac:dyDescent="0.15">
      <c r="A14" s="3" t="s">
        <v>59</v>
      </c>
      <c r="B14" s="4" t="s">
        <v>60</v>
      </c>
      <c r="C14" s="3" t="s">
        <v>61</v>
      </c>
      <c r="D14" s="3" t="s">
        <v>62</v>
      </c>
      <c r="E14" s="3" t="b">
        <f ca="1">IFERROR(__xludf.DUMMYFUNCTION("""COMPUTED_VALUE"""),TRUE)</f>
        <v>1</v>
      </c>
      <c r="F14" s="3" t="s">
        <v>13</v>
      </c>
    </row>
    <row r="15" spans="1:6" ht="13" hidden="1" x14ac:dyDescent="0.15">
      <c r="A15" s="3" t="s">
        <v>63</v>
      </c>
      <c r="B15" s="4" t="s">
        <v>64</v>
      </c>
      <c r="C15" s="3" t="s">
        <v>65</v>
      </c>
      <c r="D15" s="3" t="s">
        <v>66</v>
      </c>
      <c r="E15" s="3" t="b">
        <f ca="1">IFERROR(__xludf.DUMMYFUNCTION("""COMPUTED_VALUE"""),TRUE)</f>
        <v>1</v>
      </c>
      <c r="F15" s="3" t="s">
        <v>13</v>
      </c>
    </row>
    <row r="16" spans="1:6" ht="13" x14ac:dyDescent="0.15">
      <c r="A16" s="3" t="s">
        <v>67</v>
      </c>
      <c r="B16" s="4" t="s">
        <v>68</v>
      </c>
      <c r="C16" s="3" t="s">
        <v>69</v>
      </c>
      <c r="D16" s="3" t="s">
        <v>70</v>
      </c>
      <c r="E16" s="3" t="b">
        <f ca="1">IFERROR(__xludf.DUMMYFUNCTION("""COMPUTED_VALUE"""),TRUE)</f>
        <v>1</v>
      </c>
      <c r="F16" s="3" t="s">
        <v>33</v>
      </c>
    </row>
    <row r="17" spans="1:6" ht="13" hidden="1" x14ac:dyDescent="0.15">
      <c r="A17" s="3" t="s">
        <v>71</v>
      </c>
      <c r="B17" s="4" t="s">
        <v>72</v>
      </c>
      <c r="C17" s="3" t="s">
        <v>73</v>
      </c>
      <c r="D17" s="3" t="s">
        <v>74</v>
      </c>
      <c r="E17" s="3" t="b">
        <f ca="1">IFERROR(__xludf.DUMMYFUNCTION("""COMPUTED_VALUE"""),TRUE)</f>
        <v>1</v>
      </c>
      <c r="F17" s="3" t="s">
        <v>13</v>
      </c>
    </row>
    <row r="18" spans="1:6" ht="13" hidden="1" x14ac:dyDescent="0.15">
      <c r="A18" s="3" t="s">
        <v>75</v>
      </c>
      <c r="B18" s="4" t="s">
        <v>76</v>
      </c>
      <c r="C18" s="3" t="s">
        <v>77</v>
      </c>
      <c r="D18" s="3" t="s">
        <v>78</v>
      </c>
      <c r="E18" s="3" t="b">
        <f ca="1">IFERROR(__xludf.DUMMYFUNCTION("""COMPUTED_VALUE"""),TRUE)</f>
        <v>1</v>
      </c>
      <c r="F18" s="3" t="s">
        <v>13</v>
      </c>
    </row>
    <row r="19" spans="1:6" ht="13" hidden="1" x14ac:dyDescent="0.15">
      <c r="A19" s="3" t="s">
        <v>79</v>
      </c>
      <c r="B19" s="4" t="s">
        <v>80</v>
      </c>
      <c r="C19" s="3" t="s">
        <v>81</v>
      </c>
      <c r="D19" s="3" t="s">
        <v>82</v>
      </c>
      <c r="E19" s="3" t="b">
        <f ca="1">IFERROR(__xludf.DUMMYFUNCTION("""COMPUTED_VALUE"""),TRUE)</f>
        <v>1</v>
      </c>
      <c r="F19" s="3" t="s">
        <v>13</v>
      </c>
    </row>
    <row r="20" spans="1:6" ht="13" hidden="1" x14ac:dyDescent="0.15">
      <c r="A20" s="3" t="s">
        <v>84</v>
      </c>
      <c r="B20" s="4" t="s">
        <v>85</v>
      </c>
      <c r="C20" s="3" t="s">
        <v>86</v>
      </c>
      <c r="D20" s="3" t="s">
        <v>87</v>
      </c>
      <c r="E20" s="3" t="b">
        <f ca="1">IFERROR(__xludf.DUMMYFUNCTION("""COMPUTED_VALUE"""),TRUE)</f>
        <v>1</v>
      </c>
      <c r="F20" s="3" t="s">
        <v>13</v>
      </c>
    </row>
    <row r="21" spans="1:6" ht="13" hidden="1" x14ac:dyDescent="0.15">
      <c r="A21" s="3" t="s">
        <v>88</v>
      </c>
      <c r="B21" s="4" t="s">
        <v>89</v>
      </c>
      <c r="C21" s="3" t="s">
        <v>90</v>
      </c>
      <c r="D21" s="3" t="s">
        <v>91</v>
      </c>
      <c r="E21" s="3" t="b">
        <f ca="1">IFERROR(__xludf.DUMMYFUNCTION("""COMPUTED_VALUE"""),TRUE)</f>
        <v>1</v>
      </c>
      <c r="F21" s="3" t="s">
        <v>13</v>
      </c>
    </row>
    <row r="22" spans="1:6" ht="13" hidden="1" x14ac:dyDescent="0.15">
      <c r="A22" s="3" t="s">
        <v>92</v>
      </c>
      <c r="B22" s="4" t="s">
        <v>93</v>
      </c>
      <c r="C22" s="3" t="s">
        <v>94</v>
      </c>
      <c r="D22" s="3" t="s">
        <v>95</v>
      </c>
      <c r="E22" s="3" t="b">
        <f ca="1">IFERROR(__xludf.DUMMYFUNCTION("""COMPUTED_VALUE"""),TRUE)</f>
        <v>1</v>
      </c>
      <c r="F22" s="3" t="s">
        <v>13</v>
      </c>
    </row>
    <row r="23" spans="1:6" ht="13" hidden="1" x14ac:dyDescent="0.15">
      <c r="A23" s="3" t="s">
        <v>96</v>
      </c>
      <c r="B23" s="4" t="s">
        <v>97</v>
      </c>
      <c r="C23" s="3" t="s">
        <v>98</v>
      </c>
      <c r="D23" s="3" t="s">
        <v>99</v>
      </c>
      <c r="E23" s="3" t="b">
        <f ca="1">IFERROR(__xludf.DUMMYFUNCTION("""COMPUTED_VALUE"""),TRUE)</f>
        <v>1</v>
      </c>
      <c r="F23" s="3" t="s">
        <v>13</v>
      </c>
    </row>
    <row r="24" spans="1:6" ht="13" hidden="1" x14ac:dyDescent="0.15">
      <c r="A24" s="3" t="s">
        <v>100</v>
      </c>
      <c r="B24" s="4" t="s">
        <v>101</v>
      </c>
      <c r="C24" s="3" t="s">
        <v>102</v>
      </c>
      <c r="D24" s="3" t="s">
        <v>103</v>
      </c>
      <c r="E24" s="3" t="b">
        <f ca="1">IFERROR(__xludf.DUMMYFUNCTION("""COMPUTED_VALUE"""),TRUE)</f>
        <v>1</v>
      </c>
      <c r="F24" s="3" t="s">
        <v>13</v>
      </c>
    </row>
    <row r="25" spans="1:6" ht="13" hidden="1" x14ac:dyDescent="0.15">
      <c r="A25" s="3" t="s">
        <v>92</v>
      </c>
      <c r="B25" s="4" t="s">
        <v>104</v>
      </c>
      <c r="C25" s="3" t="s">
        <v>105</v>
      </c>
      <c r="D25" s="3" t="s">
        <v>106</v>
      </c>
      <c r="E25" s="3" t="b">
        <f ca="1">IFERROR(__xludf.DUMMYFUNCTION("""COMPUTED_VALUE"""),TRUE)</f>
        <v>1</v>
      </c>
      <c r="F25" s="3" t="s">
        <v>13</v>
      </c>
    </row>
    <row r="26" spans="1:6" ht="13" hidden="1" x14ac:dyDescent="0.15">
      <c r="A26" s="3" t="s">
        <v>107</v>
      </c>
      <c r="B26" s="4" t="s">
        <v>108</v>
      </c>
      <c r="C26" s="3" t="s">
        <v>109</v>
      </c>
      <c r="D26" s="3" t="s">
        <v>110</v>
      </c>
      <c r="E26" s="3" t="b">
        <f ca="1">IFERROR(__xludf.DUMMYFUNCTION("""COMPUTED_VALUE"""),TRUE)</f>
        <v>1</v>
      </c>
      <c r="F26" s="3" t="s">
        <v>13</v>
      </c>
    </row>
    <row r="27" spans="1:6" ht="13" hidden="1" x14ac:dyDescent="0.15">
      <c r="A27" s="3" t="s">
        <v>111</v>
      </c>
      <c r="B27" s="4" t="s">
        <v>112</v>
      </c>
      <c r="C27" s="3" t="s">
        <v>113</v>
      </c>
      <c r="D27" s="3" t="s">
        <v>114</v>
      </c>
      <c r="E27" s="3" t="b">
        <f ca="1">IFERROR(__xludf.DUMMYFUNCTION("""COMPUTED_VALUE"""),TRUE)</f>
        <v>1</v>
      </c>
      <c r="F27" s="3" t="s">
        <v>13</v>
      </c>
    </row>
    <row r="28" spans="1:6" ht="13" x14ac:dyDescent="0.15">
      <c r="A28" s="3" t="s">
        <v>115</v>
      </c>
      <c r="B28" s="4" t="s">
        <v>116</v>
      </c>
      <c r="C28" s="3" t="s">
        <v>117</v>
      </c>
      <c r="D28" s="3" t="s">
        <v>118</v>
      </c>
      <c r="E28" s="3" t="b">
        <f ca="1">IFERROR(__xludf.DUMMYFUNCTION("""COMPUTED_VALUE"""),TRUE)</f>
        <v>1</v>
      </c>
      <c r="F28" s="3" t="s">
        <v>54</v>
      </c>
    </row>
    <row r="29" spans="1:6" ht="13" hidden="1" x14ac:dyDescent="0.15">
      <c r="A29" s="3" t="s">
        <v>119</v>
      </c>
      <c r="B29" s="4" t="s">
        <v>120</v>
      </c>
      <c r="C29" s="3" t="s">
        <v>121</v>
      </c>
      <c r="D29" s="3" t="s">
        <v>122</v>
      </c>
      <c r="E29" s="3" t="b">
        <f ca="1">IFERROR(__xludf.DUMMYFUNCTION("""COMPUTED_VALUE"""),TRUE)</f>
        <v>1</v>
      </c>
      <c r="F29" s="3" t="s">
        <v>13</v>
      </c>
    </row>
    <row r="30" spans="1:6" ht="13" hidden="1" x14ac:dyDescent="0.15">
      <c r="A30" s="3" t="s">
        <v>123</v>
      </c>
      <c r="B30" s="4" t="s">
        <v>124</v>
      </c>
      <c r="C30" s="3" t="s">
        <v>125</v>
      </c>
      <c r="D30" s="3" t="s">
        <v>126</v>
      </c>
      <c r="E30" s="3" t="b">
        <f ca="1">IFERROR(__xludf.DUMMYFUNCTION("""COMPUTED_VALUE"""),TRUE)</f>
        <v>1</v>
      </c>
      <c r="F30" s="3" t="s">
        <v>13</v>
      </c>
    </row>
    <row r="31" spans="1:6" ht="13" hidden="1" x14ac:dyDescent="0.15">
      <c r="A31" s="3" t="s">
        <v>127</v>
      </c>
      <c r="B31" s="4" t="s">
        <v>128</v>
      </c>
      <c r="C31" s="3" t="s">
        <v>129</v>
      </c>
      <c r="D31" s="3" t="s">
        <v>130</v>
      </c>
      <c r="E31" s="3" t="b">
        <f ca="1">IFERROR(__xludf.DUMMYFUNCTION("""COMPUTED_VALUE"""),TRUE)</f>
        <v>1</v>
      </c>
      <c r="F31" s="3" t="s">
        <v>13</v>
      </c>
    </row>
    <row r="32" spans="1:6" ht="13" x14ac:dyDescent="0.15">
      <c r="A32" s="3" t="s">
        <v>131</v>
      </c>
      <c r="B32" s="4" t="s">
        <v>132</v>
      </c>
      <c r="C32" s="3" t="s">
        <v>133</v>
      </c>
      <c r="D32" s="3" t="s">
        <v>134</v>
      </c>
      <c r="E32" s="3" t="b">
        <f ca="1">IFERROR(__xludf.DUMMYFUNCTION("""COMPUTED_VALUE"""),TRUE)</f>
        <v>1</v>
      </c>
      <c r="F32" s="3" t="s">
        <v>33</v>
      </c>
    </row>
    <row r="33" spans="1:6" ht="13" x14ac:dyDescent="0.15">
      <c r="A33" s="3" t="s">
        <v>135</v>
      </c>
      <c r="B33" s="4" t="s">
        <v>136</v>
      </c>
      <c r="C33" s="3" t="s">
        <v>137</v>
      </c>
      <c r="D33" s="3" t="s">
        <v>138</v>
      </c>
      <c r="E33" s="3" t="b">
        <f ca="1">IFERROR(__xludf.DUMMYFUNCTION("""COMPUTED_VALUE"""),TRUE)</f>
        <v>1</v>
      </c>
      <c r="F33" s="3" t="s">
        <v>54</v>
      </c>
    </row>
    <row r="34" spans="1:6" ht="13" hidden="1" x14ac:dyDescent="0.15">
      <c r="A34" s="3" t="s">
        <v>139</v>
      </c>
      <c r="B34" s="4" t="s">
        <v>140</v>
      </c>
      <c r="C34" s="3" t="s">
        <v>141</v>
      </c>
      <c r="D34" s="3" t="s">
        <v>142</v>
      </c>
      <c r="E34" s="3" t="b">
        <f ca="1">IFERROR(__xludf.DUMMYFUNCTION("""COMPUTED_VALUE"""),TRUE)</f>
        <v>1</v>
      </c>
      <c r="F34" s="3" t="s">
        <v>13</v>
      </c>
    </row>
    <row r="35" spans="1:6" ht="13" hidden="1" x14ac:dyDescent="0.15">
      <c r="A35" s="3" t="s">
        <v>143</v>
      </c>
      <c r="B35" s="4" t="s">
        <v>144</v>
      </c>
      <c r="C35" s="3" t="s">
        <v>145</v>
      </c>
      <c r="D35" s="3" t="s">
        <v>146</v>
      </c>
      <c r="E35" s="3" t="b">
        <f ca="1">IFERROR(__xludf.DUMMYFUNCTION("""COMPUTED_VALUE"""),TRUE)</f>
        <v>1</v>
      </c>
      <c r="F35" s="3" t="s">
        <v>13</v>
      </c>
    </row>
    <row r="36" spans="1:6" ht="13" x14ac:dyDescent="0.15">
      <c r="A36" s="3" t="s">
        <v>147</v>
      </c>
      <c r="B36" s="4" t="s">
        <v>148</v>
      </c>
      <c r="C36" s="3" t="s">
        <v>149</v>
      </c>
      <c r="D36" s="3" t="s">
        <v>150</v>
      </c>
      <c r="E36" s="3" t="b">
        <f ca="1">IFERROR(__xludf.DUMMYFUNCTION("""COMPUTED_VALUE"""),TRUE)</f>
        <v>1</v>
      </c>
      <c r="F36" s="3" t="s">
        <v>54</v>
      </c>
    </row>
    <row r="37" spans="1:6" ht="13" x14ac:dyDescent="0.15">
      <c r="A37" s="3" t="s">
        <v>151</v>
      </c>
      <c r="B37" s="4" t="s">
        <v>152</v>
      </c>
      <c r="C37" s="3" t="s">
        <v>153</v>
      </c>
      <c r="D37" s="3" t="s">
        <v>154</v>
      </c>
      <c r="E37" s="3" t="b">
        <f ca="1">IFERROR(__xludf.DUMMYFUNCTION("""COMPUTED_VALUE"""),TRUE)</f>
        <v>1</v>
      </c>
      <c r="F37" s="3" t="s">
        <v>33</v>
      </c>
    </row>
    <row r="38" spans="1:6" ht="13" x14ac:dyDescent="0.15">
      <c r="A38" s="3" t="s">
        <v>155</v>
      </c>
      <c r="B38" s="4" t="s">
        <v>156</v>
      </c>
      <c r="C38" s="3" t="s">
        <v>157</v>
      </c>
      <c r="D38" s="3" t="s">
        <v>158</v>
      </c>
      <c r="E38" s="3" t="b">
        <f ca="1">IFERROR(__xludf.DUMMYFUNCTION("""COMPUTED_VALUE"""),TRUE)</f>
        <v>1</v>
      </c>
      <c r="F38" s="3" t="s">
        <v>33</v>
      </c>
    </row>
    <row r="39" spans="1:6" ht="13" hidden="1" x14ac:dyDescent="0.15">
      <c r="A39" s="3" t="s">
        <v>159</v>
      </c>
      <c r="B39" s="4" t="s">
        <v>160</v>
      </c>
      <c r="C39" s="3" t="s">
        <v>161</v>
      </c>
      <c r="D39" s="3" t="s">
        <v>162</v>
      </c>
      <c r="E39" s="3" t="b">
        <f ca="1">IFERROR(__xludf.DUMMYFUNCTION("""COMPUTED_VALUE"""),TRUE)</f>
        <v>1</v>
      </c>
      <c r="F39" s="3" t="s">
        <v>13</v>
      </c>
    </row>
    <row r="40" spans="1:6" ht="13" hidden="1" x14ac:dyDescent="0.15">
      <c r="A40" s="3" t="s">
        <v>163</v>
      </c>
      <c r="B40" s="4" t="s">
        <v>164</v>
      </c>
      <c r="C40" s="3" t="s">
        <v>165</v>
      </c>
      <c r="D40" s="3" t="s">
        <v>166</v>
      </c>
      <c r="E40" s="3" t="b">
        <f ca="1">IFERROR(__xludf.DUMMYFUNCTION("""COMPUTED_VALUE"""),TRUE)</f>
        <v>1</v>
      </c>
      <c r="F40" s="3" t="s">
        <v>13</v>
      </c>
    </row>
    <row r="41" spans="1:6" ht="13" hidden="1" x14ac:dyDescent="0.15">
      <c r="A41" s="3" t="s">
        <v>167</v>
      </c>
      <c r="B41" s="4" t="s">
        <v>168</v>
      </c>
      <c r="C41" s="3" t="s">
        <v>169</v>
      </c>
      <c r="D41" s="3" t="s">
        <v>170</v>
      </c>
      <c r="E41" s="3" t="b">
        <f ca="1">IFERROR(__xludf.DUMMYFUNCTION("""COMPUTED_VALUE"""),TRUE)</f>
        <v>1</v>
      </c>
      <c r="F41" s="3" t="s">
        <v>13</v>
      </c>
    </row>
    <row r="42" spans="1:6" ht="13" x14ac:dyDescent="0.15">
      <c r="A42" s="3" t="s">
        <v>171</v>
      </c>
      <c r="B42" s="4" t="s">
        <v>172</v>
      </c>
      <c r="C42" s="3" t="s">
        <v>173</v>
      </c>
      <c r="D42" s="3" t="s">
        <v>174</v>
      </c>
      <c r="E42" s="3" t="b">
        <f ca="1">IFERROR(__xludf.DUMMYFUNCTION("""COMPUTED_VALUE"""),TRUE)</f>
        <v>1</v>
      </c>
      <c r="F42" s="3" t="s">
        <v>54</v>
      </c>
    </row>
    <row r="43" spans="1:6" ht="13" hidden="1" x14ac:dyDescent="0.15">
      <c r="A43" s="3" t="s">
        <v>175</v>
      </c>
      <c r="B43" s="4" t="s">
        <v>176</v>
      </c>
      <c r="C43" s="3" t="s">
        <v>177</v>
      </c>
      <c r="D43" s="3" t="s">
        <v>178</v>
      </c>
      <c r="E43" s="3" t="b">
        <f ca="1">IFERROR(__xludf.DUMMYFUNCTION("""COMPUTED_VALUE"""),TRUE)</f>
        <v>1</v>
      </c>
      <c r="F43" s="3" t="s">
        <v>13</v>
      </c>
    </row>
    <row r="44" spans="1:6" ht="13" hidden="1" x14ac:dyDescent="0.15">
      <c r="A44" s="3" t="s">
        <v>179</v>
      </c>
      <c r="B44" s="4" t="s">
        <v>180</v>
      </c>
      <c r="C44" s="3" t="s">
        <v>181</v>
      </c>
      <c r="D44" s="3" t="s">
        <v>182</v>
      </c>
      <c r="E44" s="3" t="b">
        <f ca="1">IFERROR(__xludf.DUMMYFUNCTION("""COMPUTED_VALUE"""),TRUE)</f>
        <v>1</v>
      </c>
      <c r="F44" s="3" t="s">
        <v>13</v>
      </c>
    </row>
    <row r="45" spans="1:6" ht="13" hidden="1" x14ac:dyDescent="0.15">
      <c r="A45" s="3" t="s">
        <v>183</v>
      </c>
      <c r="B45" s="4" t="s">
        <v>184</v>
      </c>
      <c r="C45" s="3" t="s">
        <v>185</v>
      </c>
      <c r="D45" s="3" t="s">
        <v>186</v>
      </c>
      <c r="E45" s="3" t="b">
        <f ca="1">IFERROR(__xludf.DUMMYFUNCTION("""COMPUTED_VALUE"""),TRUE)</f>
        <v>1</v>
      </c>
      <c r="F45" s="3" t="s">
        <v>13</v>
      </c>
    </row>
    <row r="46" spans="1:6" ht="13" hidden="1" x14ac:dyDescent="0.15">
      <c r="A46" s="3" t="s">
        <v>187</v>
      </c>
      <c r="B46" s="4" t="s">
        <v>188</v>
      </c>
      <c r="C46" s="3" t="s">
        <v>189</v>
      </c>
      <c r="D46" s="3" t="s">
        <v>190</v>
      </c>
      <c r="E46" s="3" t="b">
        <f ca="1">IFERROR(__xludf.DUMMYFUNCTION("""COMPUTED_VALUE"""),TRUE)</f>
        <v>1</v>
      </c>
      <c r="F46" s="3" t="s">
        <v>13</v>
      </c>
    </row>
    <row r="47" spans="1:6" ht="13" x14ac:dyDescent="0.15">
      <c r="A47" s="3" t="s">
        <v>191</v>
      </c>
      <c r="B47" s="4" t="s">
        <v>192</v>
      </c>
      <c r="C47" s="3" t="s">
        <v>193</v>
      </c>
      <c r="D47" s="3" t="s">
        <v>194</v>
      </c>
      <c r="E47" s="3" t="b">
        <f ca="1">IFERROR(__xludf.DUMMYFUNCTION("""COMPUTED_VALUE"""),TRUE)</f>
        <v>1</v>
      </c>
      <c r="F47" s="3" t="s">
        <v>33</v>
      </c>
    </row>
    <row r="48" spans="1:6" ht="13" hidden="1" x14ac:dyDescent="0.15">
      <c r="A48" s="3" t="s">
        <v>195</v>
      </c>
      <c r="B48" s="4" t="s">
        <v>196</v>
      </c>
      <c r="C48" s="3" t="s">
        <v>197</v>
      </c>
      <c r="D48" s="3" t="s">
        <v>198</v>
      </c>
      <c r="E48" s="3" t="b">
        <f ca="1">IFERROR(__xludf.DUMMYFUNCTION("""COMPUTED_VALUE"""),TRUE)</f>
        <v>1</v>
      </c>
      <c r="F48" s="3" t="s">
        <v>13</v>
      </c>
    </row>
    <row r="49" spans="1:6" ht="13" hidden="1" x14ac:dyDescent="0.15">
      <c r="A49" s="3" t="s">
        <v>191</v>
      </c>
      <c r="B49" s="4" t="s">
        <v>199</v>
      </c>
      <c r="C49" s="3" t="s">
        <v>200</v>
      </c>
      <c r="D49" s="3" t="s">
        <v>201</v>
      </c>
      <c r="E49" s="3" t="b">
        <f ca="1">IFERROR(__xludf.DUMMYFUNCTION("""COMPUTED_VALUE"""),TRUE)</f>
        <v>1</v>
      </c>
      <c r="F49" s="3" t="s">
        <v>13</v>
      </c>
    </row>
    <row r="50" spans="1:6" ht="13" hidden="1" x14ac:dyDescent="0.15">
      <c r="A50" s="3" t="s">
        <v>202</v>
      </c>
      <c r="B50" s="4" t="s">
        <v>203</v>
      </c>
      <c r="C50" s="3" t="s">
        <v>204</v>
      </c>
      <c r="D50" s="3" t="s">
        <v>205</v>
      </c>
      <c r="E50" s="3" t="b">
        <f ca="1">IFERROR(__xludf.DUMMYFUNCTION("""COMPUTED_VALUE"""),TRUE)</f>
        <v>1</v>
      </c>
      <c r="F50" s="3" t="s">
        <v>13</v>
      </c>
    </row>
    <row r="51" spans="1:6" ht="13" x14ac:dyDescent="0.15">
      <c r="A51" s="3" t="s">
        <v>206</v>
      </c>
      <c r="B51" s="4" t="s">
        <v>207</v>
      </c>
      <c r="C51" s="3" t="s">
        <v>208</v>
      </c>
      <c r="D51" s="3" t="s">
        <v>209</v>
      </c>
      <c r="E51" s="3" t="b">
        <f ca="1">IFERROR(__xludf.DUMMYFUNCTION("""COMPUTED_VALUE"""),TRUE)</f>
        <v>1</v>
      </c>
      <c r="F51" s="3" t="s">
        <v>33</v>
      </c>
    </row>
    <row r="52" spans="1:6" ht="13" hidden="1" x14ac:dyDescent="0.15">
      <c r="A52" s="3" t="s">
        <v>210</v>
      </c>
      <c r="B52" s="4" t="s">
        <v>211</v>
      </c>
      <c r="C52" s="3" t="s">
        <v>212</v>
      </c>
      <c r="D52" s="3" t="s">
        <v>213</v>
      </c>
      <c r="E52" s="3" t="b">
        <f ca="1">IFERROR(__xludf.DUMMYFUNCTION("""COMPUTED_VALUE"""),TRUE)</f>
        <v>1</v>
      </c>
      <c r="F52" s="3" t="s">
        <v>13</v>
      </c>
    </row>
    <row r="53" spans="1:6" ht="13" hidden="1" x14ac:dyDescent="0.15">
      <c r="A53" s="3" t="s">
        <v>214</v>
      </c>
      <c r="B53" s="4" t="s">
        <v>215</v>
      </c>
      <c r="C53" s="3" t="s">
        <v>216</v>
      </c>
      <c r="D53" s="3" t="s">
        <v>217</v>
      </c>
      <c r="E53" s="3" t="b">
        <f ca="1">IFERROR(__xludf.DUMMYFUNCTION("""COMPUTED_VALUE"""),TRUE)</f>
        <v>1</v>
      </c>
      <c r="F53" s="3" t="s">
        <v>13</v>
      </c>
    </row>
    <row r="54" spans="1:6" ht="13" hidden="1" x14ac:dyDescent="0.15">
      <c r="A54" s="3" t="s">
        <v>218</v>
      </c>
      <c r="B54" s="4" t="s">
        <v>219</v>
      </c>
      <c r="C54" s="3" t="s">
        <v>220</v>
      </c>
      <c r="D54" s="3" t="s">
        <v>221</v>
      </c>
      <c r="E54" s="3" t="b">
        <f ca="1">IFERROR(__xludf.DUMMYFUNCTION("""COMPUTED_VALUE"""),TRUE)</f>
        <v>1</v>
      </c>
      <c r="F54" s="3" t="s">
        <v>13</v>
      </c>
    </row>
    <row r="55" spans="1:6" ht="13" hidden="1" x14ac:dyDescent="0.15">
      <c r="A55" s="3" t="s">
        <v>222</v>
      </c>
      <c r="B55" s="4" t="s">
        <v>223</v>
      </c>
      <c r="C55" s="3" t="s">
        <v>224</v>
      </c>
      <c r="D55" s="3" t="s">
        <v>225</v>
      </c>
      <c r="E55" s="3" t="b">
        <f ca="1">IFERROR(__xludf.DUMMYFUNCTION("""COMPUTED_VALUE"""),TRUE)</f>
        <v>1</v>
      </c>
      <c r="F55" s="3" t="s">
        <v>13</v>
      </c>
    </row>
    <row r="56" spans="1:6" ht="13" hidden="1" x14ac:dyDescent="0.15">
      <c r="A56" s="3" t="s">
        <v>226</v>
      </c>
      <c r="B56" s="4" t="s">
        <v>227</v>
      </c>
      <c r="C56" s="3" t="s">
        <v>228</v>
      </c>
      <c r="D56" s="3" t="s">
        <v>229</v>
      </c>
      <c r="E56" s="3" t="b">
        <f ca="1">IFERROR(__xludf.DUMMYFUNCTION("""COMPUTED_VALUE"""),TRUE)</f>
        <v>1</v>
      </c>
      <c r="F56" s="3" t="s">
        <v>13</v>
      </c>
    </row>
    <row r="57" spans="1:6" ht="13" hidden="1" x14ac:dyDescent="0.15">
      <c r="A57" s="3" t="s">
        <v>230</v>
      </c>
      <c r="B57" s="4" t="s">
        <v>231</v>
      </c>
      <c r="C57" s="3" t="s">
        <v>232</v>
      </c>
      <c r="D57" s="3" t="s">
        <v>233</v>
      </c>
      <c r="E57" s="3" t="b">
        <f ca="1">IFERROR(__xludf.DUMMYFUNCTION("""COMPUTED_VALUE"""),TRUE)</f>
        <v>1</v>
      </c>
      <c r="F57" s="3" t="s">
        <v>13</v>
      </c>
    </row>
    <row r="58" spans="1:6" ht="13" hidden="1" x14ac:dyDescent="0.15">
      <c r="A58" s="3" t="s">
        <v>234</v>
      </c>
      <c r="B58" s="4" t="s">
        <v>235</v>
      </c>
      <c r="C58" s="3" t="s">
        <v>236</v>
      </c>
      <c r="D58" s="3" t="s">
        <v>237</v>
      </c>
      <c r="E58" s="3" t="b">
        <f ca="1">IFERROR(__xludf.DUMMYFUNCTION("""COMPUTED_VALUE"""),TRUE)</f>
        <v>1</v>
      </c>
      <c r="F58" s="3" t="s">
        <v>13</v>
      </c>
    </row>
    <row r="59" spans="1:6" ht="13" hidden="1" x14ac:dyDescent="0.15">
      <c r="A59" s="3" t="s">
        <v>238</v>
      </c>
      <c r="B59" s="4" t="s">
        <v>239</v>
      </c>
      <c r="C59" s="3" t="s">
        <v>240</v>
      </c>
      <c r="D59" s="3" t="s">
        <v>241</v>
      </c>
      <c r="E59" s="3" t="b">
        <f ca="1">IFERROR(__xludf.DUMMYFUNCTION("""COMPUTED_VALUE"""),TRUE)</f>
        <v>1</v>
      </c>
      <c r="F59" s="3" t="s">
        <v>13</v>
      </c>
    </row>
    <row r="60" spans="1:6" ht="13" x14ac:dyDescent="0.15">
      <c r="A60" s="3" t="s">
        <v>242</v>
      </c>
      <c r="B60" s="4" t="s">
        <v>243</v>
      </c>
      <c r="C60" s="3" t="s">
        <v>244</v>
      </c>
      <c r="D60" s="3" t="s">
        <v>245</v>
      </c>
      <c r="E60" s="3" t="b">
        <f ca="1">IFERROR(__xludf.DUMMYFUNCTION("""COMPUTED_VALUE"""),TRUE)</f>
        <v>1</v>
      </c>
      <c r="F60" s="3" t="s">
        <v>33</v>
      </c>
    </row>
    <row r="61" spans="1:6" ht="13" hidden="1" x14ac:dyDescent="0.15">
      <c r="A61" s="3" t="s">
        <v>246</v>
      </c>
      <c r="B61" s="4" t="s">
        <v>247</v>
      </c>
      <c r="C61" s="3" t="s">
        <v>248</v>
      </c>
      <c r="D61" s="3" t="s">
        <v>249</v>
      </c>
      <c r="E61" s="3" t="b">
        <f ca="1">IFERROR(__xludf.DUMMYFUNCTION("""COMPUTED_VALUE"""),FALSE)</f>
        <v>0</v>
      </c>
      <c r="F61" s="3" t="s">
        <v>13</v>
      </c>
    </row>
    <row r="62" spans="1:6" ht="13" hidden="1" x14ac:dyDescent="0.15">
      <c r="A62" s="3" t="s">
        <v>250</v>
      </c>
      <c r="B62" s="4" t="s">
        <v>251</v>
      </c>
      <c r="C62" s="3" t="s">
        <v>252</v>
      </c>
      <c r="D62" s="3" t="s">
        <v>253</v>
      </c>
      <c r="E62" s="3" t="b">
        <f ca="1">IFERROR(__xludf.DUMMYFUNCTION("""COMPUTED_VALUE"""),TRUE)</f>
        <v>1</v>
      </c>
      <c r="F62" s="3" t="s">
        <v>13</v>
      </c>
    </row>
    <row r="63" spans="1:6" ht="13" hidden="1" x14ac:dyDescent="0.15">
      <c r="A63" s="3" t="s">
        <v>254</v>
      </c>
      <c r="B63" s="4" t="s">
        <v>255</v>
      </c>
      <c r="C63" s="3" t="s">
        <v>256</v>
      </c>
      <c r="D63" s="3" t="s">
        <v>257</v>
      </c>
      <c r="E63" s="3" t="b">
        <f ca="1">IFERROR(__xludf.DUMMYFUNCTION("""COMPUTED_VALUE"""),TRUE)</f>
        <v>1</v>
      </c>
      <c r="F63" s="3" t="s">
        <v>13</v>
      </c>
    </row>
    <row r="64" spans="1:6" ht="13" hidden="1" x14ac:dyDescent="0.15">
      <c r="A64" s="3" t="s">
        <v>258</v>
      </c>
      <c r="B64" s="4" t="s">
        <v>259</v>
      </c>
      <c r="C64" s="3" t="s">
        <v>260</v>
      </c>
      <c r="D64" s="3" t="s">
        <v>261</v>
      </c>
      <c r="E64" s="3" t="b">
        <f ca="1">IFERROR(__xludf.DUMMYFUNCTION("""COMPUTED_VALUE"""),TRUE)</f>
        <v>1</v>
      </c>
      <c r="F64" s="3" t="s">
        <v>13</v>
      </c>
    </row>
    <row r="65" spans="1:6" ht="13" hidden="1" x14ac:dyDescent="0.15">
      <c r="A65" s="3" t="s">
        <v>262</v>
      </c>
      <c r="B65" s="4" t="s">
        <v>263</v>
      </c>
      <c r="C65" s="3" t="s">
        <v>264</v>
      </c>
      <c r="D65" s="3" t="s">
        <v>265</v>
      </c>
      <c r="E65" s="3" t="b">
        <f ca="1">IFERROR(__xludf.DUMMYFUNCTION("""COMPUTED_VALUE"""),TRUE)</f>
        <v>1</v>
      </c>
      <c r="F65" s="3" t="s">
        <v>13</v>
      </c>
    </row>
    <row r="66" spans="1:6" ht="13" hidden="1" x14ac:dyDescent="0.15">
      <c r="A66" s="3" t="s">
        <v>266</v>
      </c>
      <c r="B66" s="4" t="s">
        <v>267</v>
      </c>
      <c r="C66" s="3" t="s">
        <v>268</v>
      </c>
      <c r="D66" s="3" t="s">
        <v>269</v>
      </c>
      <c r="E66" s="3" t="b">
        <f ca="1">IFERROR(__xludf.DUMMYFUNCTION("""COMPUTED_VALUE"""),TRUE)</f>
        <v>1</v>
      </c>
      <c r="F66" s="3" t="s">
        <v>13</v>
      </c>
    </row>
    <row r="67" spans="1:6" ht="13" hidden="1" x14ac:dyDescent="0.15">
      <c r="A67" s="3" t="s">
        <v>270</v>
      </c>
      <c r="B67" s="4" t="s">
        <v>271</v>
      </c>
      <c r="C67" s="3" t="s">
        <v>272</v>
      </c>
      <c r="D67" s="3" t="s">
        <v>273</v>
      </c>
      <c r="E67" s="3" t="b">
        <f ca="1">IFERROR(__xludf.DUMMYFUNCTION("""COMPUTED_VALUE"""),FALSE)</f>
        <v>0</v>
      </c>
      <c r="F67" s="3" t="s">
        <v>13</v>
      </c>
    </row>
    <row r="68" spans="1:6" ht="13" hidden="1" x14ac:dyDescent="0.15">
      <c r="A68" s="3" t="s">
        <v>274</v>
      </c>
      <c r="B68" s="4" t="s">
        <v>275</v>
      </c>
      <c r="C68" s="3" t="s">
        <v>276</v>
      </c>
      <c r="D68" s="3" t="s">
        <v>277</v>
      </c>
      <c r="E68" s="3" t="b">
        <f ca="1">IFERROR(__xludf.DUMMYFUNCTION("""COMPUTED_VALUE"""),TRUE)</f>
        <v>1</v>
      </c>
      <c r="F68" s="3" t="s">
        <v>13</v>
      </c>
    </row>
    <row r="69" spans="1:6" ht="13" hidden="1" x14ac:dyDescent="0.15">
      <c r="A69" s="3" t="s">
        <v>278</v>
      </c>
      <c r="B69" s="4" t="s">
        <v>279</v>
      </c>
      <c r="C69" s="3" t="s">
        <v>280</v>
      </c>
      <c r="D69" s="3" t="s">
        <v>281</v>
      </c>
      <c r="E69" s="3" t="b">
        <f ca="1">IFERROR(__xludf.DUMMYFUNCTION("""COMPUTED_VALUE"""),TRUE)</f>
        <v>1</v>
      </c>
      <c r="F69" s="3" t="s">
        <v>13</v>
      </c>
    </row>
    <row r="70" spans="1:6" ht="13" hidden="1" x14ac:dyDescent="0.15">
      <c r="A70" s="3" t="s">
        <v>282</v>
      </c>
      <c r="B70" s="4" t="s">
        <v>283</v>
      </c>
      <c r="C70" s="3" t="s">
        <v>284</v>
      </c>
      <c r="D70" s="3" t="s">
        <v>285</v>
      </c>
      <c r="E70" s="3" t="b">
        <f ca="1">IFERROR(__xludf.DUMMYFUNCTION("""COMPUTED_VALUE"""),TRUE)</f>
        <v>1</v>
      </c>
      <c r="F70" s="3" t="s">
        <v>13</v>
      </c>
    </row>
    <row r="71" spans="1:6" ht="13" x14ac:dyDescent="0.15">
      <c r="A71" s="3" t="s">
        <v>286</v>
      </c>
      <c r="B71" s="4" t="s">
        <v>287</v>
      </c>
      <c r="C71" s="3" t="s">
        <v>288</v>
      </c>
      <c r="D71" s="3" t="s">
        <v>289</v>
      </c>
      <c r="E71" s="3" t="b">
        <f ca="1">IFERROR(__xludf.DUMMYFUNCTION("""COMPUTED_VALUE"""),TRUE)</f>
        <v>1</v>
      </c>
      <c r="F71" s="3" t="s">
        <v>33</v>
      </c>
    </row>
    <row r="72" spans="1:6" ht="13" hidden="1" x14ac:dyDescent="0.15">
      <c r="A72" s="3" t="s">
        <v>290</v>
      </c>
      <c r="B72" s="4" t="s">
        <v>291</v>
      </c>
      <c r="C72" s="3" t="s">
        <v>292</v>
      </c>
      <c r="D72" s="3" t="s">
        <v>293</v>
      </c>
      <c r="E72" s="3" t="b">
        <f ca="1">IFERROR(__xludf.DUMMYFUNCTION("""COMPUTED_VALUE"""),TRUE)</f>
        <v>1</v>
      </c>
      <c r="F72" s="3" t="s">
        <v>13</v>
      </c>
    </row>
    <row r="73" spans="1:6" ht="13" hidden="1" x14ac:dyDescent="0.15">
      <c r="A73" s="3" t="s">
        <v>294</v>
      </c>
      <c r="B73" s="4" t="s">
        <v>295</v>
      </c>
      <c r="C73" s="3" t="s">
        <v>296</v>
      </c>
      <c r="D73" s="3" t="s">
        <v>297</v>
      </c>
      <c r="E73" s="3" t="b">
        <f ca="1">IFERROR(__xludf.DUMMYFUNCTION("""COMPUTED_VALUE"""),FALSE)</f>
        <v>0</v>
      </c>
      <c r="F73" s="3" t="s">
        <v>13</v>
      </c>
    </row>
    <row r="74" spans="1:6" ht="13" x14ac:dyDescent="0.15">
      <c r="A74" s="3" t="s">
        <v>298</v>
      </c>
      <c r="B74" s="4" t="s">
        <v>299</v>
      </c>
      <c r="C74" s="3" t="s">
        <v>300</v>
      </c>
      <c r="D74" s="3" t="s">
        <v>301</v>
      </c>
      <c r="E74" s="3" t="b">
        <f ca="1">IFERROR(__xludf.DUMMYFUNCTION("""COMPUTED_VALUE"""),TRUE)</f>
        <v>1</v>
      </c>
      <c r="F74" s="3" t="s">
        <v>33</v>
      </c>
    </row>
    <row r="75" spans="1:6" ht="13" hidden="1" x14ac:dyDescent="0.15">
      <c r="A75" s="3" t="s">
        <v>3</v>
      </c>
      <c r="B75" s="3" t="s">
        <v>4</v>
      </c>
      <c r="C75" s="3" t="s">
        <v>83</v>
      </c>
      <c r="D75" s="3" t="s">
        <v>6</v>
      </c>
      <c r="E75" s="3" t="b">
        <f ca="1">IFERROR(__xludf.DUMMYFUNCTION("""COMPUTED_VALUE"""),FALSE)</f>
        <v>0</v>
      </c>
      <c r="F75" s="3" t="s">
        <v>13</v>
      </c>
    </row>
    <row r="76" spans="1:6" ht="13" hidden="1" x14ac:dyDescent="0.15">
      <c r="A76" s="3" t="s">
        <v>302</v>
      </c>
      <c r="B76" s="4" t="s">
        <v>303</v>
      </c>
      <c r="C76" s="3" t="s">
        <v>304</v>
      </c>
      <c r="D76" s="3" t="s">
        <v>305</v>
      </c>
      <c r="E76" s="3" t="b">
        <f ca="1">IFERROR(__xludf.DUMMYFUNCTION("""COMPUTED_VALUE"""),TRUE)</f>
        <v>1</v>
      </c>
      <c r="F76" s="3" t="s">
        <v>13</v>
      </c>
    </row>
    <row r="77" spans="1:6" ht="13" hidden="1" x14ac:dyDescent="0.15">
      <c r="A77" s="3" t="s">
        <v>306</v>
      </c>
      <c r="B77" s="4" t="s">
        <v>307</v>
      </c>
      <c r="C77" s="3" t="s">
        <v>308</v>
      </c>
      <c r="D77" s="3" t="s">
        <v>309</v>
      </c>
      <c r="E77" s="3" t="b">
        <f ca="1">IFERROR(__xludf.DUMMYFUNCTION("""COMPUTED_VALUE"""),TRUE)</f>
        <v>1</v>
      </c>
      <c r="F77" s="3" t="s">
        <v>13</v>
      </c>
    </row>
    <row r="78" spans="1:6" ht="13" hidden="1" x14ac:dyDescent="0.15">
      <c r="A78" s="3" t="s">
        <v>310</v>
      </c>
      <c r="B78" s="4" t="s">
        <v>311</v>
      </c>
      <c r="C78" s="3" t="s">
        <v>312</v>
      </c>
      <c r="D78" s="3" t="s">
        <v>313</v>
      </c>
      <c r="E78" s="3" t="b">
        <f ca="1">IFERROR(__xludf.DUMMYFUNCTION("""COMPUTED_VALUE"""),FALSE)</f>
        <v>0</v>
      </c>
      <c r="F78" s="3" t="s">
        <v>13</v>
      </c>
    </row>
    <row r="79" spans="1:6" ht="13" hidden="1" x14ac:dyDescent="0.15">
      <c r="A79" s="3" t="s">
        <v>314</v>
      </c>
      <c r="B79" s="4" t="s">
        <v>315</v>
      </c>
      <c r="C79" s="3" t="s">
        <v>316</v>
      </c>
      <c r="D79" s="3" t="s">
        <v>317</v>
      </c>
      <c r="E79" s="3" t="b">
        <f ca="1">IFERROR(__xludf.DUMMYFUNCTION("""COMPUTED_VALUE"""),TRUE)</f>
        <v>1</v>
      </c>
      <c r="F79" s="3" t="s">
        <v>13</v>
      </c>
    </row>
    <row r="80" spans="1:6" ht="13" hidden="1" x14ac:dyDescent="0.15">
      <c r="A80" s="3" t="s">
        <v>318</v>
      </c>
      <c r="B80" s="4" t="s">
        <v>319</v>
      </c>
      <c r="C80" s="3" t="s">
        <v>320</v>
      </c>
      <c r="D80" s="3" t="s">
        <v>321</v>
      </c>
      <c r="E80" s="3" t="b">
        <f ca="1">IFERROR(__xludf.DUMMYFUNCTION("""COMPUTED_VALUE"""),TRUE)</f>
        <v>1</v>
      </c>
      <c r="F80" s="3" t="s">
        <v>13</v>
      </c>
    </row>
    <row r="81" spans="1:6" ht="13" x14ac:dyDescent="0.15">
      <c r="A81" s="3" t="s">
        <v>322</v>
      </c>
      <c r="B81" s="4" t="s">
        <v>323</v>
      </c>
      <c r="C81" s="3" t="s">
        <v>324</v>
      </c>
      <c r="D81" s="3" t="s">
        <v>325</v>
      </c>
      <c r="E81" s="3" t="b">
        <f ca="1">IFERROR(__xludf.DUMMYFUNCTION("""COMPUTED_VALUE"""),TRUE)</f>
        <v>1</v>
      </c>
      <c r="F81" s="3" t="s">
        <v>33</v>
      </c>
    </row>
    <row r="82" spans="1:6" ht="13" x14ac:dyDescent="0.15">
      <c r="A82" s="3" t="s">
        <v>326</v>
      </c>
      <c r="B82" s="4" t="s">
        <v>327</v>
      </c>
      <c r="C82" s="3" t="s">
        <v>328</v>
      </c>
      <c r="D82" s="3" t="s">
        <v>329</v>
      </c>
      <c r="E82" s="3" t="b">
        <f ca="1">IFERROR(__xludf.DUMMYFUNCTION("""COMPUTED_VALUE"""),TRUE)</f>
        <v>1</v>
      </c>
      <c r="F82" s="3" t="s">
        <v>33</v>
      </c>
    </row>
    <row r="83" spans="1:6" ht="13" hidden="1" x14ac:dyDescent="0.15">
      <c r="A83" s="3" t="s">
        <v>330</v>
      </c>
      <c r="B83" s="4" t="s">
        <v>331</v>
      </c>
      <c r="C83" s="3" t="s">
        <v>332</v>
      </c>
      <c r="D83" s="3" t="s">
        <v>333</v>
      </c>
      <c r="E83" s="3" t="b">
        <f ca="1">IFERROR(__xludf.DUMMYFUNCTION("""COMPUTED_VALUE"""),TRUE)</f>
        <v>1</v>
      </c>
      <c r="F83" s="3" t="s">
        <v>13</v>
      </c>
    </row>
    <row r="84" spans="1:6" ht="13" hidden="1" x14ac:dyDescent="0.15">
      <c r="A84" s="3" t="s">
        <v>334</v>
      </c>
      <c r="B84" s="4" t="s">
        <v>335</v>
      </c>
      <c r="C84" s="3" t="s">
        <v>336</v>
      </c>
      <c r="D84" s="3" t="s">
        <v>337</v>
      </c>
      <c r="E84" s="3" t="b">
        <f ca="1">IFERROR(__xludf.DUMMYFUNCTION("""COMPUTED_VALUE"""),TRUE)</f>
        <v>1</v>
      </c>
      <c r="F84" s="3" t="s">
        <v>13</v>
      </c>
    </row>
    <row r="85" spans="1:6" ht="13" hidden="1" x14ac:dyDescent="0.15">
      <c r="A85" s="3" t="s">
        <v>338</v>
      </c>
      <c r="B85" s="4" t="s">
        <v>339</v>
      </c>
      <c r="C85" s="3" t="s">
        <v>340</v>
      </c>
      <c r="D85" s="3" t="s">
        <v>341</v>
      </c>
      <c r="E85" s="3" t="b">
        <f ca="1">IFERROR(__xludf.DUMMYFUNCTION("""COMPUTED_VALUE"""),FALSE)</f>
        <v>0</v>
      </c>
      <c r="F85" s="3" t="s">
        <v>13</v>
      </c>
    </row>
    <row r="86" spans="1:6" ht="13" hidden="1" x14ac:dyDescent="0.15">
      <c r="A86" s="3" t="s">
        <v>342</v>
      </c>
      <c r="B86" s="4" t="s">
        <v>343</v>
      </c>
      <c r="C86" s="3" t="s">
        <v>344</v>
      </c>
      <c r="D86" s="3" t="s">
        <v>345</v>
      </c>
      <c r="E86" s="3" t="b">
        <f ca="1">IFERROR(__xludf.DUMMYFUNCTION("""COMPUTED_VALUE"""),TRUE)</f>
        <v>1</v>
      </c>
      <c r="F86" s="3" t="s">
        <v>13</v>
      </c>
    </row>
    <row r="87" spans="1:6" ht="13" hidden="1" x14ac:dyDescent="0.15">
      <c r="A87" s="3" t="s">
        <v>346</v>
      </c>
      <c r="B87" s="4" t="s">
        <v>347</v>
      </c>
      <c r="C87" s="3" t="s">
        <v>348</v>
      </c>
      <c r="D87" s="3" t="s">
        <v>349</v>
      </c>
      <c r="E87" s="3" t="b">
        <f ca="1">IFERROR(__xludf.DUMMYFUNCTION("""COMPUTED_VALUE"""),TRUE)</f>
        <v>1</v>
      </c>
      <c r="F87" s="3" t="s">
        <v>13</v>
      </c>
    </row>
    <row r="88" spans="1:6" ht="13" hidden="1" x14ac:dyDescent="0.15">
      <c r="A88" s="3" t="s">
        <v>350</v>
      </c>
      <c r="B88" s="4" t="s">
        <v>351</v>
      </c>
      <c r="C88" s="3" t="s">
        <v>352</v>
      </c>
      <c r="D88" s="3" t="s">
        <v>353</v>
      </c>
      <c r="E88" s="3" t="b">
        <f ca="1">IFERROR(__xludf.DUMMYFUNCTION("""COMPUTED_VALUE"""),TRUE)</f>
        <v>1</v>
      </c>
      <c r="F88" s="3" t="s">
        <v>13</v>
      </c>
    </row>
    <row r="89" spans="1:6" ht="13" hidden="1" x14ac:dyDescent="0.15">
      <c r="A89" s="3" t="s">
        <v>354</v>
      </c>
      <c r="B89" s="4" t="s">
        <v>355</v>
      </c>
      <c r="C89" s="3" t="s">
        <v>356</v>
      </c>
      <c r="D89" s="3" t="s">
        <v>357</v>
      </c>
      <c r="E89" s="3" t="b">
        <f ca="1">IFERROR(__xludf.DUMMYFUNCTION("""COMPUTED_VALUE"""),TRUE)</f>
        <v>1</v>
      </c>
      <c r="F89" s="3" t="s">
        <v>13</v>
      </c>
    </row>
    <row r="90" spans="1:6" ht="13" hidden="1" x14ac:dyDescent="0.15">
      <c r="A90" s="3" t="s">
        <v>358</v>
      </c>
      <c r="B90" s="4" t="s">
        <v>359</v>
      </c>
      <c r="C90" s="3" t="s">
        <v>360</v>
      </c>
      <c r="D90" s="3" t="s">
        <v>361</v>
      </c>
      <c r="E90" s="3" t="b">
        <f ca="1">IFERROR(__xludf.DUMMYFUNCTION("""COMPUTED_VALUE"""),TRUE)</f>
        <v>1</v>
      </c>
      <c r="F90" s="3" t="s">
        <v>13</v>
      </c>
    </row>
    <row r="91" spans="1:6" ht="13" hidden="1" x14ac:dyDescent="0.15">
      <c r="A91" s="3" t="s">
        <v>226</v>
      </c>
      <c r="B91" s="4" t="s">
        <v>362</v>
      </c>
      <c r="C91" s="3" t="s">
        <v>228</v>
      </c>
      <c r="D91" s="3" t="s">
        <v>363</v>
      </c>
      <c r="E91" s="3" t="b">
        <f ca="1">IFERROR(__xludf.DUMMYFUNCTION("""COMPUTED_VALUE"""),TRUE)</f>
        <v>1</v>
      </c>
      <c r="F91" s="3" t="s">
        <v>13</v>
      </c>
    </row>
    <row r="92" spans="1:6" ht="13" x14ac:dyDescent="0.15">
      <c r="A92" s="3" t="s">
        <v>364</v>
      </c>
      <c r="B92" s="4" t="s">
        <v>365</v>
      </c>
      <c r="C92" s="3" t="s">
        <v>366</v>
      </c>
      <c r="D92" s="3" t="s">
        <v>367</v>
      </c>
      <c r="E92" s="3" t="b">
        <f ca="1">IFERROR(__xludf.DUMMYFUNCTION("""COMPUTED_VALUE"""),TRUE)</f>
        <v>1</v>
      </c>
      <c r="F92" s="3" t="s">
        <v>33</v>
      </c>
    </row>
    <row r="93" spans="1:6" ht="13" hidden="1" x14ac:dyDescent="0.15">
      <c r="A93" s="3" t="s">
        <v>368</v>
      </c>
      <c r="B93" s="4" t="s">
        <v>369</v>
      </c>
      <c r="C93" s="3" t="s">
        <v>370</v>
      </c>
      <c r="D93" s="3" t="s">
        <v>371</v>
      </c>
      <c r="E93" s="3" t="b">
        <f ca="1">IFERROR(__xludf.DUMMYFUNCTION("""COMPUTED_VALUE"""),FALSE)</f>
        <v>0</v>
      </c>
      <c r="F93" s="3" t="s">
        <v>13</v>
      </c>
    </row>
    <row r="94" spans="1:6" ht="13" hidden="1" x14ac:dyDescent="0.15">
      <c r="A94" s="3" t="s">
        <v>372</v>
      </c>
      <c r="B94" s="4" t="s">
        <v>373</v>
      </c>
      <c r="C94" s="3" t="s">
        <v>374</v>
      </c>
      <c r="D94" s="3" t="s">
        <v>375</v>
      </c>
      <c r="E94" s="3" t="b">
        <f ca="1">IFERROR(__xludf.DUMMYFUNCTION("""COMPUTED_VALUE"""),TRUE)</f>
        <v>1</v>
      </c>
      <c r="F94" s="3" t="s">
        <v>13</v>
      </c>
    </row>
    <row r="95" spans="1:6" ht="13" hidden="1" x14ac:dyDescent="0.15">
      <c r="A95" s="3" t="s">
        <v>376</v>
      </c>
      <c r="B95" s="4" t="s">
        <v>377</v>
      </c>
      <c r="C95" s="3" t="s">
        <v>378</v>
      </c>
      <c r="D95" s="3" t="s">
        <v>379</v>
      </c>
      <c r="E95" s="3" t="b">
        <f ca="1">IFERROR(__xludf.DUMMYFUNCTION("""COMPUTED_VALUE"""),TRUE)</f>
        <v>1</v>
      </c>
      <c r="F95" s="3" t="s">
        <v>13</v>
      </c>
    </row>
    <row r="96" spans="1:6" ht="13" hidden="1" x14ac:dyDescent="0.15">
      <c r="A96" s="3" t="s">
        <v>3</v>
      </c>
      <c r="B96" s="3" t="s">
        <v>4</v>
      </c>
      <c r="C96" s="3" t="s">
        <v>83</v>
      </c>
      <c r="D96" s="3" t="s">
        <v>6</v>
      </c>
      <c r="E96" s="3" t="b">
        <f ca="1">IFERROR(__xludf.DUMMYFUNCTION("""COMPUTED_VALUE"""),FALSE)</f>
        <v>0</v>
      </c>
      <c r="F96" s="3" t="s">
        <v>13</v>
      </c>
    </row>
    <row r="97" spans="1:6" ht="13" x14ac:dyDescent="0.15">
      <c r="A97" s="3" t="s">
        <v>380</v>
      </c>
      <c r="B97" s="4" t="s">
        <v>381</v>
      </c>
      <c r="C97" s="3" t="s">
        <v>382</v>
      </c>
      <c r="D97" s="3" t="s">
        <v>383</v>
      </c>
      <c r="E97" s="3" t="b">
        <f ca="1">IFERROR(__xludf.DUMMYFUNCTION("""COMPUTED_VALUE"""),TRUE)</f>
        <v>1</v>
      </c>
      <c r="F97" s="3" t="s">
        <v>33</v>
      </c>
    </row>
    <row r="98" spans="1:6" ht="13" hidden="1" x14ac:dyDescent="0.15">
      <c r="A98" s="3" t="s">
        <v>384</v>
      </c>
      <c r="B98" s="4" t="s">
        <v>385</v>
      </c>
      <c r="C98" s="3" t="s">
        <v>386</v>
      </c>
      <c r="D98" s="3" t="s">
        <v>387</v>
      </c>
      <c r="E98" s="3" t="b">
        <f ca="1">IFERROR(__xludf.DUMMYFUNCTION("""COMPUTED_VALUE"""),TRUE)</f>
        <v>1</v>
      </c>
      <c r="F98" s="3" t="s">
        <v>13</v>
      </c>
    </row>
    <row r="99" spans="1:6" ht="13" hidden="1" x14ac:dyDescent="0.15">
      <c r="A99" s="3" t="s">
        <v>388</v>
      </c>
      <c r="B99" s="4" t="s">
        <v>389</v>
      </c>
      <c r="C99" s="3" t="s">
        <v>390</v>
      </c>
      <c r="D99" s="3" t="s">
        <v>391</v>
      </c>
      <c r="E99" s="3" t="b">
        <f ca="1">IFERROR(__xludf.DUMMYFUNCTION("""COMPUTED_VALUE"""),TRUE)</f>
        <v>1</v>
      </c>
      <c r="F99" s="3" t="s">
        <v>13</v>
      </c>
    </row>
    <row r="100" spans="1:6" ht="13" hidden="1" x14ac:dyDescent="0.15">
      <c r="A100" s="3" t="s">
        <v>392</v>
      </c>
      <c r="B100" s="4" t="s">
        <v>393</v>
      </c>
      <c r="C100" s="3" t="s">
        <v>394</v>
      </c>
      <c r="D100" s="3" t="s">
        <v>395</v>
      </c>
      <c r="E100" s="3" t="b">
        <f ca="1">IFERROR(__xludf.DUMMYFUNCTION("""COMPUTED_VALUE"""),TRUE)</f>
        <v>1</v>
      </c>
      <c r="F100" s="3" t="s">
        <v>13</v>
      </c>
    </row>
    <row r="101" spans="1:6" ht="13" x14ac:dyDescent="0.15">
      <c r="A101" s="3" t="s">
        <v>396</v>
      </c>
      <c r="B101" s="4" t="s">
        <v>397</v>
      </c>
      <c r="C101" s="3" t="s">
        <v>398</v>
      </c>
      <c r="D101" s="3" t="s">
        <v>399</v>
      </c>
      <c r="E101" s="3" t="b">
        <f ca="1">IFERROR(__xludf.DUMMYFUNCTION("""COMPUTED_VALUE"""),TRUE)</f>
        <v>1</v>
      </c>
      <c r="F101" s="3" t="s">
        <v>33</v>
      </c>
    </row>
    <row r="102" spans="1:6" ht="13" hidden="1" x14ac:dyDescent="0.15">
      <c r="A102" s="3" t="s">
        <v>400</v>
      </c>
      <c r="B102" s="4" t="s">
        <v>401</v>
      </c>
      <c r="C102" s="3" t="s">
        <v>402</v>
      </c>
      <c r="D102" s="3" t="s">
        <v>403</v>
      </c>
      <c r="E102" s="3" t="b">
        <f ca="1">IFERROR(__xludf.DUMMYFUNCTION("""COMPUTED_VALUE"""),TRUE)</f>
        <v>1</v>
      </c>
      <c r="F102" s="3" t="s">
        <v>13</v>
      </c>
    </row>
    <row r="103" spans="1:6" ht="13" hidden="1" x14ac:dyDescent="0.15">
      <c r="A103" s="3" t="s">
        <v>404</v>
      </c>
      <c r="B103" s="4" t="s">
        <v>405</v>
      </c>
      <c r="C103" s="3" t="s">
        <v>406</v>
      </c>
      <c r="D103" s="3" t="s">
        <v>407</v>
      </c>
      <c r="E103" s="3" t="b">
        <f ca="1">IFERROR(__xludf.DUMMYFUNCTION("""COMPUTED_VALUE"""),TRUE)</f>
        <v>1</v>
      </c>
      <c r="F103" s="3" t="s">
        <v>13</v>
      </c>
    </row>
    <row r="104" spans="1:6" ht="13" hidden="1" x14ac:dyDescent="0.15">
      <c r="A104" s="3" t="s">
        <v>408</v>
      </c>
      <c r="B104" s="4" t="s">
        <v>409</v>
      </c>
      <c r="C104" s="3" t="s">
        <v>410</v>
      </c>
      <c r="D104" s="3" t="s">
        <v>411</v>
      </c>
      <c r="E104" s="3" t="b">
        <f ca="1">IFERROR(__xludf.DUMMYFUNCTION("""COMPUTED_VALUE"""),TRUE)</f>
        <v>1</v>
      </c>
      <c r="F104" s="3" t="s">
        <v>13</v>
      </c>
    </row>
    <row r="105" spans="1:6" ht="13" hidden="1" x14ac:dyDescent="0.15">
      <c r="A105" s="3" t="s">
        <v>412</v>
      </c>
      <c r="B105" s="4" t="s">
        <v>413</v>
      </c>
      <c r="C105" s="3" t="s">
        <v>414</v>
      </c>
      <c r="D105" s="3" t="s">
        <v>415</v>
      </c>
      <c r="E105" s="3" t="b">
        <f ca="1">IFERROR(__xludf.DUMMYFUNCTION("""COMPUTED_VALUE"""),FALSE)</f>
        <v>0</v>
      </c>
      <c r="F105" s="3" t="s">
        <v>13</v>
      </c>
    </row>
    <row r="106" spans="1:6" ht="13" hidden="1" x14ac:dyDescent="0.15">
      <c r="A106" s="3" t="s">
        <v>416</v>
      </c>
      <c r="B106" s="4" t="s">
        <v>417</v>
      </c>
      <c r="C106" s="3" t="s">
        <v>418</v>
      </c>
      <c r="D106" s="3" t="s">
        <v>419</v>
      </c>
      <c r="E106" s="3" t="b">
        <f ca="1">IFERROR(__xludf.DUMMYFUNCTION("""COMPUTED_VALUE"""),TRUE)</f>
        <v>1</v>
      </c>
      <c r="F106" s="3" t="s">
        <v>13</v>
      </c>
    </row>
    <row r="107" spans="1:6" ht="13" hidden="1" x14ac:dyDescent="0.15">
      <c r="A107" s="3" t="s">
        <v>420</v>
      </c>
      <c r="B107" s="4" t="s">
        <v>421</v>
      </c>
      <c r="C107" s="3" t="s">
        <v>422</v>
      </c>
      <c r="D107" s="3" t="s">
        <v>423</v>
      </c>
      <c r="E107" s="3" t="b">
        <f ca="1">IFERROR(__xludf.DUMMYFUNCTION("""COMPUTED_VALUE"""),TRUE)</f>
        <v>1</v>
      </c>
      <c r="F107" s="3" t="s">
        <v>13</v>
      </c>
    </row>
    <row r="108" spans="1:6" ht="13" hidden="1" x14ac:dyDescent="0.15">
      <c r="A108" s="3" t="s">
        <v>424</v>
      </c>
      <c r="B108" s="4" t="s">
        <v>425</v>
      </c>
      <c r="C108" s="3" t="s">
        <v>426</v>
      </c>
      <c r="D108" s="3" t="s">
        <v>427</v>
      </c>
      <c r="E108" s="3" t="b">
        <f ca="1">IFERROR(__xludf.DUMMYFUNCTION("""COMPUTED_VALUE"""),TRUE)</f>
        <v>1</v>
      </c>
      <c r="F108" s="3" t="s">
        <v>13</v>
      </c>
    </row>
    <row r="109" spans="1:6" ht="13" hidden="1" x14ac:dyDescent="0.15">
      <c r="A109" s="3" t="s">
        <v>428</v>
      </c>
      <c r="B109" s="4" t="s">
        <v>429</v>
      </c>
      <c r="C109" s="3" t="s">
        <v>430</v>
      </c>
      <c r="D109" s="3" t="s">
        <v>431</v>
      </c>
      <c r="E109" s="3" t="b">
        <f ca="1">IFERROR(__xludf.DUMMYFUNCTION("""COMPUTED_VALUE"""),TRUE)</f>
        <v>1</v>
      </c>
      <c r="F109" s="3" t="s">
        <v>13</v>
      </c>
    </row>
    <row r="110" spans="1:6" ht="13" hidden="1" x14ac:dyDescent="0.15">
      <c r="A110" s="3" t="s">
        <v>432</v>
      </c>
      <c r="B110" s="4" t="s">
        <v>433</v>
      </c>
      <c r="C110" s="3" t="s">
        <v>434</v>
      </c>
      <c r="D110" s="3" t="s">
        <v>435</v>
      </c>
      <c r="E110" s="3" t="b">
        <f ca="1">IFERROR(__xludf.DUMMYFUNCTION("""COMPUTED_VALUE"""),TRUE)</f>
        <v>1</v>
      </c>
      <c r="F110" s="3" t="s">
        <v>13</v>
      </c>
    </row>
    <row r="111" spans="1:6" ht="13" hidden="1" x14ac:dyDescent="0.15">
      <c r="A111" s="3" t="s">
        <v>436</v>
      </c>
      <c r="B111" s="4" t="s">
        <v>437</v>
      </c>
      <c r="C111" s="3" t="s">
        <v>438</v>
      </c>
      <c r="D111" s="3" t="s">
        <v>439</v>
      </c>
      <c r="E111" s="3" t="b">
        <f ca="1">IFERROR(__xludf.DUMMYFUNCTION("""COMPUTED_VALUE"""),TRUE)</f>
        <v>1</v>
      </c>
      <c r="F111" s="3" t="s">
        <v>13</v>
      </c>
    </row>
    <row r="112" spans="1:6" ht="13" hidden="1" x14ac:dyDescent="0.15">
      <c r="A112" s="3" t="s">
        <v>440</v>
      </c>
      <c r="B112" s="4" t="s">
        <v>441</v>
      </c>
      <c r="C112" s="3" t="s">
        <v>442</v>
      </c>
      <c r="D112" s="3" t="s">
        <v>443</v>
      </c>
      <c r="E112" s="3" t="b">
        <f ca="1">IFERROR(__xludf.DUMMYFUNCTION("""COMPUTED_VALUE"""),TRUE)</f>
        <v>1</v>
      </c>
      <c r="F112" s="3" t="s">
        <v>13</v>
      </c>
    </row>
    <row r="113" spans="1:6" ht="13" hidden="1" x14ac:dyDescent="0.15">
      <c r="A113" s="3" t="s">
        <v>444</v>
      </c>
      <c r="B113" s="4" t="s">
        <v>445</v>
      </c>
      <c r="C113" s="3" t="s">
        <v>446</v>
      </c>
      <c r="D113" s="3" t="s">
        <v>447</v>
      </c>
      <c r="E113" s="3" t="b">
        <f ca="1">IFERROR(__xludf.DUMMYFUNCTION("""COMPUTED_VALUE"""),TRUE)</f>
        <v>1</v>
      </c>
      <c r="F113" s="3" t="s">
        <v>13</v>
      </c>
    </row>
    <row r="114" spans="1:6" ht="13" hidden="1" x14ac:dyDescent="0.15">
      <c r="A114" s="3" t="s">
        <v>448</v>
      </c>
      <c r="B114" s="4" t="s">
        <v>449</v>
      </c>
      <c r="C114" s="3" t="s">
        <v>450</v>
      </c>
      <c r="D114" s="3" t="s">
        <v>451</v>
      </c>
      <c r="E114" s="3" t="b">
        <f ca="1">IFERROR(__xludf.DUMMYFUNCTION("""COMPUTED_VALUE"""),TRUE)</f>
        <v>1</v>
      </c>
      <c r="F114" s="3" t="s">
        <v>13</v>
      </c>
    </row>
    <row r="115" spans="1:6" ht="13" x14ac:dyDescent="0.15">
      <c r="A115" s="3" t="s">
        <v>452</v>
      </c>
      <c r="B115" s="4" t="s">
        <v>453</v>
      </c>
      <c r="C115" s="3" t="s">
        <v>454</v>
      </c>
      <c r="D115" s="3" t="s">
        <v>455</v>
      </c>
      <c r="E115" s="3" t="b">
        <f ca="1">IFERROR(__xludf.DUMMYFUNCTION("""COMPUTED_VALUE"""),TRUE)</f>
        <v>1</v>
      </c>
      <c r="F115" s="3" t="s">
        <v>33</v>
      </c>
    </row>
    <row r="116" spans="1:6" ht="13" x14ac:dyDescent="0.15">
      <c r="A116" s="3" t="s">
        <v>456</v>
      </c>
      <c r="B116" s="4" t="s">
        <v>457</v>
      </c>
      <c r="C116" s="3" t="s">
        <v>458</v>
      </c>
      <c r="D116" s="3" t="s">
        <v>459</v>
      </c>
      <c r="E116" s="3" t="b">
        <f ca="1">IFERROR(__xludf.DUMMYFUNCTION("""COMPUTED_VALUE"""),TRUE)</f>
        <v>1</v>
      </c>
      <c r="F116" s="3" t="s">
        <v>33</v>
      </c>
    </row>
    <row r="117" spans="1:6" ht="13" x14ac:dyDescent="0.15">
      <c r="E117" s="3" t="str">
        <f ca="1">IFERROR(__xludf.DUMMYFUNCTION("""COMPUTED_VALUE"""),"")</f>
        <v/>
      </c>
    </row>
    <row r="118" spans="1:6" ht="13" x14ac:dyDescent="0.15">
      <c r="E118" s="3" t="str">
        <f ca="1">IFERROR(__xludf.DUMMYFUNCTION("""COMPUTED_VALUE"""),"")</f>
        <v/>
      </c>
    </row>
    <row r="119" spans="1:6" ht="13" x14ac:dyDescent="0.15">
      <c r="E119" s="3" t="str">
        <f ca="1">IFERROR(__xludf.DUMMYFUNCTION("""COMPUTED_VALUE"""),"")</f>
        <v/>
      </c>
    </row>
    <row r="120" spans="1:6" ht="13" x14ac:dyDescent="0.15">
      <c r="E120" s="3" t="str">
        <f ca="1">IFERROR(__xludf.DUMMYFUNCTION("""COMPUTED_VALUE"""),"")</f>
        <v/>
      </c>
    </row>
    <row r="121" spans="1:6" ht="13" x14ac:dyDescent="0.15">
      <c r="E121" s="3" t="str">
        <f ca="1">IFERROR(__xludf.DUMMYFUNCTION("""COMPUTED_VALUE"""),"")</f>
        <v/>
      </c>
    </row>
    <row r="122" spans="1:6" ht="13" x14ac:dyDescent="0.15">
      <c r="E122" s="3" t="str">
        <f ca="1">IFERROR(__xludf.DUMMYFUNCTION("""COMPUTED_VALUE"""),"")</f>
        <v/>
      </c>
    </row>
    <row r="123" spans="1:6" ht="13" x14ac:dyDescent="0.15">
      <c r="E123" s="3" t="str">
        <f ca="1">IFERROR(__xludf.DUMMYFUNCTION("""COMPUTED_VALUE"""),"")</f>
        <v/>
      </c>
    </row>
    <row r="124" spans="1:6" ht="13" x14ac:dyDescent="0.15">
      <c r="E124" s="3" t="str">
        <f ca="1">IFERROR(__xludf.DUMMYFUNCTION("""COMPUTED_VALUE"""),"")</f>
        <v/>
      </c>
    </row>
    <row r="125" spans="1:6" ht="13" x14ac:dyDescent="0.15">
      <c r="E125" s="3" t="str">
        <f ca="1">IFERROR(__xludf.DUMMYFUNCTION("""COMPUTED_VALUE"""),"")</f>
        <v/>
      </c>
    </row>
    <row r="126" spans="1:6" ht="13" x14ac:dyDescent="0.15">
      <c r="E126" s="3" t="str">
        <f ca="1">IFERROR(__xludf.DUMMYFUNCTION("""COMPUTED_VALUE"""),"")</f>
        <v/>
      </c>
    </row>
    <row r="127" spans="1:6" ht="13" x14ac:dyDescent="0.15">
      <c r="E127" s="3" t="str">
        <f ca="1">IFERROR(__xludf.DUMMYFUNCTION("""COMPUTED_VALUE"""),"")</f>
        <v/>
      </c>
    </row>
    <row r="128" spans="1:6" ht="13" x14ac:dyDescent="0.15">
      <c r="E128" s="3" t="str">
        <f ca="1">IFERROR(__xludf.DUMMYFUNCTION("""COMPUTED_VALUE"""),"")</f>
        <v/>
      </c>
    </row>
    <row r="129" spans="5:5" ht="13" x14ac:dyDescent="0.15">
      <c r="E129" s="3" t="str">
        <f ca="1">IFERROR(__xludf.DUMMYFUNCTION("""COMPUTED_VALUE"""),"")</f>
        <v/>
      </c>
    </row>
    <row r="130" spans="5:5" ht="13" x14ac:dyDescent="0.15">
      <c r="E130" s="3" t="str">
        <f ca="1">IFERROR(__xludf.DUMMYFUNCTION("""COMPUTED_VALUE"""),"")</f>
        <v/>
      </c>
    </row>
    <row r="131" spans="5:5" ht="13" x14ac:dyDescent="0.15">
      <c r="E131" s="3" t="str">
        <f ca="1">IFERROR(__xludf.DUMMYFUNCTION("""COMPUTED_VALUE"""),"")</f>
        <v/>
      </c>
    </row>
    <row r="132" spans="5:5" ht="13" x14ac:dyDescent="0.15">
      <c r="E132" s="3" t="str">
        <f ca="1">IFERROR(__xludf.DUMMYFUNCTION("""COMPUTED_VALUE"""),"")</f>
        <v/>
      </c>
    </row>
    <row r="133" spans="5:5" ht="13" x14ac:dyDescent="0.15">
      <c r="E133" s="3" t="str">
        <f ca="1">IFERROR(__xludf.DUMMYFUNCTION("""COMPUTED_VALUE"""),"")</f>
        <v/>
      </c>
    </row>
    <row r="134" spans="5:5" ht="13" x14ac:dyDescent="0.15">
      <c r="E134" s="3" t="str">
        <f ca="1">IFERROR(__xludf.DUMMYFUNCTION("""COMPUTED_VALUE"""),"")</f>
        <v/>
      </c>
    </row>
    <row r="135" spans="5:5" ht="13" x14ac:dyDescent="0.15">
      <c r="E135" s="3" t="str">
        <f ca="1">IFERROR(__xludf.DUMMYFUNCTION("""COMPUTED_VALUE"""),"")</f>
        <v/>
      </c>
    </row>
    <row r="136" spans="5:5" ht="13" x14ac:dyDescent="0.15">
      <c r="E136" s="3" t="str">
        <f ca="1">IFERROR(__xludf.DUMMYFUNCTION("""COMPUTED_VALUE"""),"")</f>
        <v/>
      </c>
    </row>
    <row r="137" spans="5:5" ht="13" x14ac:dyDescent="0.15">
      <c r="E137" s="3" t="str">
        <f ca="1">IFERROR(__xludf.DUMMYFUNCTION("""COMPUTED_VALUE"""),"")</f>
        <v/>
      </c>
    </row>
    <row r="138" spans="5:5" ht="13" x14ac:dyDescent="0.15">
      <c r="E138" s="3" t="str">
        <f ca="1">IFERROR(__xludf.DUMMYFUNCTION("""COMPUTED_VALUE"""),"")</f>
        <v/>
      </c>
    </row>
    <row r="139" spans="5:5" ht="13" x14ac:dyDescent="0.15">
      <c r="E139" s="3" t="str">
        <f ca="1">IFERROR(__xludf.DUMMYFUNCTION("""COMPUTED_VALUE"""),"")</f>
        <v/>
      </c>
    </row>
    <row r="140" spans="5:5" ht="13" x14ac:dyDescent="0.15">
      <c r="E140" s="3" t="str">
        <f ca="1">IFERROR(__xludf.DUMMYFUNCTION("""COMPUTED_VALUE"""),"")</f>
        <v/>
      </c>
    </row>
    <row r="141" spans="5:5" ht="13" x14ac:dyDescent="0.15">
      <c r="E141" s="3" t="str">
        <f ca="1">IFERROR(__xludf.DUMMYFUNCTION("""COMPUTED_VALUE"""),"")</f>
        <v/>
      </c>
    </row>
    <row r="142" spans="5:5" ht="13" x14ac:dyDescent="0.15">
      <c r="E142" s="3" t="str">
        <f ca="1">IFERROR(__xludf.DUMMYFUNCTION("""COMPUTED_VALUE"""),"")</f>
        <v/>
      </c>
    </row>
    <row r="143" spans="5:5" ht="13" x14ac:dyDescent="0.15">
      <c r="E143" s="3" t="str">
        <f ca="1">IFERROR(__xludf.DUMMYFUNCTION("""COMPUTED_VALUE"""),"")</f>
        <v/>
      </c>
    </row>
    <row r="144" spans="5:5" ht="13" x14ac:dyDescent="0.15">
      <c r="E144" s="3" t="str">
        <f ca="1">IFERROR(__xludf.DUMMYFUNCTION("""COMPUTED_VALUE"""),"")</f>
        <v/>
      </c>
    </row>
    <row r="145" spans="5:5" ht="13" x14ac:dyDescent="0.15">
      <c r="E145" s="3" t="str">
        <f ca="1">IFERROR(__xludf.DUMMYFUNCTION("""COMPUTED_VALUE"""),"")</f>
        <v/>
      </c>
    </row>
    <row r="146" spans="5:5" ht="13" x14ac:dyDescent="0.15">
      <c r="E146" s="3" t="str">
        <f ca="1">IFERROR(__xludf.DUMMYFUNCTION("""COMPUTED_VALUE"""),"")</f>
        <v/>
      </c>
    </row>
    <row r="147" spans="5:5" ht="13" x14ac:dyDescent="0.15">
      <c r="E147" s="3" t="str">
        <f ca="1">IFERROR(__xludf.DUMMYFUNCTION("""COMPUTED_VALUE"""),"")</f>
        <v/>
      </c>
    </row>
    <row r="148" spans="5:5" ht="13" x14ac:dyDescent="0.15">
      <c r="E148" s="3" t="str">
        <f ca="1">IFERROR(__xludf.DUMMYFUNCTION("""COMPUTED_VALUE"""),"")</f>
        <v/>
      </c>
    </row>
    <row r="149" spans="5:5" ht="13" x14ac:dyDescent="0.15">
      <c r="E149" s="3" t="str">
        <f ca="1">IFERROR(__xludf.DUMMYFUNCTION("""COMPUTED_VALUE"""),"")</f>
        <v/>
      </c>
    </row>
    <row r="150" spans="5:5" ht="13" x14ac:dyDescent="0.15">
      <c r="E150" s="3" t="str">
        <f ca="1">IFERROR(__xludf.DUMMYFUNCTION("""COMPUTED_VALUE"""),"")</f>
        <v/>
      </c>
    </row>
    <row r="151" spans="5:5" ht="13" x14ac:dyDescent="0.15">
      <c r="E151" s="3" t="str">
        <f ca="1">IFERROR(__xludf.DUMMYFUNCTION("""COMPUTED_VALUE"""),"")</f>
        <v/>
      </c>
    </row>
    <row r="152" spans="5:5" ht="13" x14ac:dyDescent="0.15">
      <c r="E152" s="3" t="str">
        <f ca="1">IFERROR(__xludf.DUMMYFUNCTION("""COMPUTED_VALUE"""),"")</f>
        <v/>
      </c>
    </row>
    <row r="153" spans="5:5" ht="13" x14ac:dyDescent="0.15">
      <c r="E153" s="3" t="str">
        <f ca="1">IFERROR(__xludf.DUMMYFUNCTION("""COMPUTED_VALUE"""),"")</f>
        <v/>
      </c>
    </row>
    <row r="154" spans="5:5" ht="13" x14ac:dyDescent="0.15">
      <c r="E154" s="3" t="str">
        <f ca="1">IFERROR(__xludf.DUMMYFUNCTION("""COMPUTED_VALUE"""),"")</f>
        <v/>
      </c>
    </row>
    <row r="155" spans="5:5" ht="13" x14ac:dyDescent="0.15">
      <c r="E155" s="3" t="str">
        <f ca="1">IFERROR(__xludf.DUMMYFUNCTION("""COMPUTED_VALUE"""),"")</f>
        <v/>
      </c>
    </row>
    <row r="156" spans="5:5" ht="13" x14ac:dyDescent="0.15">
      <c r="E156" s="3" t="str">
        <f ca="1">IFERROR(__xludf.DUMMYFUNCTION("""COMPUTED_VALUE"""),"")</f>
        <v/>
      </c>
    </row>
    <row r="157" spans="5:5" ht="13" x14ac:dyDescent="0.15">
      <c r="E157" s="3" t="str">
        <f ca="1">IFERROR(__xludf.DUMMYFUNCTION("""COMPUTED_VALUE"""),"")</f>
        <v/>
      </c>
    </row>
    <row r="158" spans="5:5" ht="13" x14ac:dyDescent="0.15">
      <c r="E158" s="3" t="str">
        <f ca="1">IFERROR(__xludf.DUMMYFUNCTION("""COMPUTED_VALUE"""),"")</f>
        <v/>
      </c>
    </row>
    <row r="159" spans="5:5" ht="13" x14ac:dyDescent="0.15">
      <c r="E159" s="3" t="str">
        <f ca="1">IFERROR(__xludf.DUMMYFUNCTION("""COMPUTED_VALUE"""),"")</f>
        <v/>
      </c>
    </row>
    <row r="160" spans="5:5" ht="13" x14ac:dyDescent="0.15">
      <c r="E160" s="3" t="str">
        <f ca="1">IFERROR(__xludf.DUMMYFUNCTION("""COMPUTED_VALUE"""),"")</f>
        <v/>
      </c>
    </row>
    <row r="161" spans="5:5" ht="13" x14ac:dyDescent="0.15">
      <c r="E161" s="3" t="str">
        <f ca="1">IFERROR(__xludf.DUMMYFUNCTION("""COMPUTED_VALUE"""),"")</f>
        <v/>
      </c>
    </row>
    <row r="162" spans="5:5" ht="13" x14ac:dyDescent="0.15">
      <c r="E162" s="3" t="str">
        <f ca="1">IFERROR(__xludf.DUMMYFUNCTION("""COMPUTED_VALUE"""),"")</f>
        <v/>
      </c>
    </row>
    <row r="163" spans="5:5" ht="13" x14ac:dyDescent="0.15">
      <c r="E163" s="3" t="str">
        <f ca="1">IFERROR(__xludf.DUMMYFUNCTION("""COMPUTED_VALUE"""),"")</f>
        <v/>
      </c>
    </row>
    <row r="164" spans="5:5" ht="13" x14ac:dyDescent="0.15">
      <c r="E164" s="3" t="str">
        <f ca="1">IFERROR(__xludf.DUMMYFUNCTION("""COMPUTED_VALUE"""),"")</f>
        <v/>
      </c>
    </row>
    <row r="165" spans="5:5" ht="13" x14ac:dyDescent="0.15">
      <c r="E165" s="3" t="str">
        <f ca="1">IFERROR(__xludf.DUMMYFUNCTION("""COMPUTED_VALUE"""),"")</f>
        <v/>
      </c>
    </row>
    <row r="166" spans="5:5" ht="13" x14ac:dyDescent="0.15">
      <c r="E166" s="3" t="str">
        <f ca="1">IFERROR(__xludf.DUMMYFUNCTION("""COMPUTED_VALUE"""),"")</f>
        <v/>
      </c>
    </row>
    <row r="167" spans="5:5" ht="13" x14ac:dyDescent="0.15">
      <c r="E167" s="3" t="str">
        <f ca="1">IFERROR(__xludf.DUMMYFUNCTION("""COMPUTED_VALUE"""),"")</f>
        <v/>
      </c>
    </row>
    <row r="168" spans="5:5" ht="13" x14ac:dyDescent="0.15">
      <c r="E168" s="3" t="str">
        <f ca="1">IFERROR(__xludf.DUMMYFUNCTION("""COMPUTED_VALUE"""),"")</f>
        <v/>
      </c>
    </row>
    <row r="169" spans="5:5" ht="13" x14ac:dyDescent="0.15">
      <c r="E169" s="3" t="str">
        <f ca="1">IFERROR(__xludf.DUMMYFUNCTION("""COMPUTED_VALUE"""),"")</f>
        <v/>
      </c>
    </row>
    <row r="170" spans="5:5" ht="13" x14ac:dyDescent="0.15">
      <c r="E170" s="3" t="str">
        <f ca="1">IFERROR(__xludf.DUMMYFUNCTION("""COMPUTED_VALUE"""),"")</f>
        <v/>
      </c>
    </row>
    <row r="171" spans="5:5" ht="13" x14ac:dyDescent="0.15">
      <c r="E171" s="3" t="str">
        <f ca="1">IFERROR(__xludf.DUMMYFUNCTION("""COMPUTED_VALUE"""),"")</f>
        <v/>
      </c>
    </row>
    <row r="172" spans="5:5" ht="13" x14ac:dyDescent="0.15">
      <c r="E172" s="3" t="str">
        <f ca="1">IFERROR(__xludf.DUMMYFUNCTION("""COMPUTED_VALUE"""),"")</f>
        <v/>
      </c>
    </row>
    <row r="173" spans="5:5" ht="13" x14ac:dyDescent="0.15">
      <c r="E173" s="3" t="str">
        <f ca="1">IFERROR(__xludf.DUMMYFUNCTION("""COMPUTED_VALUE"""),"")</f>
        <v/>
      </c>
    </row>
    <row r="174" spans="5:5" ht="13" x14ac:dyDescent="0.15">
      <c r="E174" s="3" t="str">
        <f ca="1">IFERROR(__xludf.DUMMYFUNCTION("""COMPUTED_VALUE"""),"")</f>
        <v/>
      </c>
    </row>
    <row r="175" spans="5:5" ht="13" x14ac:dyDescent="0.15">
      <c r="E175" s="3" t="str">
        <f ca="1">IFERROR(__xludf.DUMMYFUNCTION("""COMPUTED_VALUE"""),"")</f>
        <v/>
      </c>
    </row>
    <row r="176" spans="5:5" ht="13" x14ac:dyDescent="0.15">
      <c r="E176" s="3" t="str">
        <f ca="1">IFERROR(__xludf.DUMMYFUNCTION("""COMPUTED_VALUE"""),"")</f>
        <v/>
      </c>
    </row>
    <row r="177" spans="5:5" ht="13" x14ac:dyDescent="0.15">
      <c r="E177" s="3" t="str">
        <f ca="1">IFERROR(__xludf.DUMMYFUNCTION("""COMPUTED_VALUE"""),"")</f>
        <v/>
      </c>
    </row>
    <row r="178" spans="5:5" ht="13" x14ac:dyDescent="0.15">
      <c r="E178" s="3" t="str">
        <f ca="1">IFERROR(__xludf.DUMMYFUNCTION("""COMPUTED_VALUE"""),"")</f>
        <v/>
      </c>
    </row>
    <row r="179" spans="5:5" ht="13" x14ac:dyDescent="0.15">
      <c r="E179" s="3" t="str">
        <f ca="1">IFERROR(__xludf.DUMMYFUNCTION("""COMPUTED_VALUE"""),"")</f>
        <v/>
      </c>
    </row>
    <row r="180" spans="5:5" ht="13" x14ac:dyDescent="0.15">
      <c r="E180" s="3" t="str">
        <f ca="1">IFERROR(__xludf.DUMMYFUNCTION("""COMPUTED_VALUE"""),"")</f>
        <v/>
      </c>
    </row>
    <row r="181" spans="5:5" ht="13" x14ac:dyDescent="0.15">
      <c r="E181" s="3" t="str">
        <f ca="1">IFERROR(__xludf.DUMMYFUNCTION("""COMPUTED_VALUE"""),"")</f>
        <v/>
      </c>
    </row>
    <row r="182" spans="5:5" ht="13" x14ac:dyDescent="0.15">
      <c r="E182" s="3" t="str">
        <f ca="1">IFERROR(__xludf.DUMMYFUNCTION("""COMPUTED_VALUE"""),"")</f>
        <v/>
      </c>
    </row>
    <row r="183" spans="5:5" ht="13" x14ac:dyDescent="0.15">
      <c r="E183" s="3" t="str">
        <f ca="1">IFERROR(__xludf.DUMMYFUNCTION("""COMPUTED_VALUE"""),"")</f>
        <v/>
      </c>
    </row>
    <row r="184" spans="5:5" ht="13" x14ac:dyDescent="0.15">
      <c r="E184" s="3" t="str">
        <f ca="1">IFERROR(__xludf.DUMMYFUNCTION("""COMPUTED_VALUE"""),"")</f>
        <v/>
      </c>
    </row>
    <row r="185" spans="5:5" ht="13" x14ac:dyDescent="0.15">
      <c r="E185" s="3" t="str">
        <f ca="1">IFERROR(__xludf.DUMMYFUNCTION("""COMPUTED_VALUE"""),"")</f>
        <v/>
      </c>
    </row>
    <row r="186" spans="5:5" ht="13" x14ac:dyDescent="0.15">
      <c r="E186" s="3" t="str">
        <f ca="1">IFERROR(__xludf.DUMMYFUNCTION("""COMPUTED_VALUE"""),"")</f>
        <v/>
      </c>
    </row>
    <row r="187" spans="5:5" ht="13" x14ac:dyDescent="0.15">
      <c r="E187" s="3" t="str">
        <f ca="1">IFERROR(__xludf.DUMMYFUNCTION("""COMPUTED_VALUE"""),"")</f>
        <v/>
      </c>
    </row>
    <row r="188" spans="5:5" ht="13" x14ac:dyDescent="0.15">
      <c r="E188" s="3" t="str">
        <f ca="1">IFERROR(__xludf.DUMMYFUNCTION("""COMPUTED_VALUE"""),"")</f>
        <v/>
      </c>
    </row>
    <row r="189" spans="5:5" ht="13" x14ac:dyDescent="0.15">
      <c r="E189" s="3" t="str">
        <f ca="1">IFERROR(__xludf.DUMMYFUNCTION("""COMPUTED_VALUE"""),"")</f>
        <v/>
      </c>
    </row>
    <row r="190" spans="5:5" ht="13" x14ac:dyDescent="0.15">
      <c r="E190" s="3" t="str">
        <f ca="1">IFERROR(__xludf.DUMMYFUNCTION("""COMPUTED_VALUE"""),"")</f>
        <v/>
      </c>
    </row>
    <row r="191" spans="5:5" ht="13" x14ac:dyDescent="0.15">
      <c r="E191" s="3" t="str">
        <f ca="1">IFERROR(__xludf.DUMMYFUNCTION("""COMPUTED_VALUE"""),"")</f>
        <v/>
      </c>
    </row>
    <row r="192" spans="5:5" ht="13" x14ac:dyDescent="0.15">
      <c r="E192" s="3" t="str">
        <f ca="1">IFERROR(__xludf.DUMMYFUNCTION("""COMPUTED_VALUE"""),"")</f>
        <v/>
      </c>
    </row>
    <row r="193" spans="5:5" ht="13" x14ac:dyDescent="0.15">
      <c r="E193" s="3" t="str">
        <f ca="1">IFERROR(__xludf.DUMMYFUNCTION("""COMPUTED_VALUE"""),"")</f>
        <v/>
      </c>
    </row>
    <row r="194" spans="5:5" ht="13" x14ac:dyDescent="0.15">
      <c r="E194" s="3" t="str">
        <f ca="1">IFERROR(__xludf.DUMMYFUNCTION("""COMPUTED_VALUE"""),"")</f>
        <v/>
      </c>
    </row>
    <row r="195" spans="5:5" ht="13" x14ac:dyDescent="0.15">
      <c r="E195" s="3" t="str">
        <f ca="1">IFERROR(__xludf.DUMMYFUNCTION("""COMPUTED_VALUE"""),"")</f>
        <v/>
      </c>
    </row>
    <row r="196" spans="5:5" ht="13" x14ac:dyDescent="0.15">
      <c r="E196" s="3" t="str">
        <f ca="1">IFERROR(__xludf.DUMMYFUNCTION("""COMPUTED_VALUE"""),"")</f>
        <v/>
      </c>
    </row>
    <row r="197" spans="5:5" ht="13" x14ac:dyDescent="0.15">
      <c r="E197" s="3" t="str">
        <f ca="1">IFERROR(__xludf.DUMMYFUNCTION("""COMPUTED_VALUE"""),"")</f>
        <v/>
      </c>
    </row>
    <row r="198" spans="5:5" ht="13" x14ac:dyDescent="0.15">
      <c r="E198" s="3" t="str">
        <f ca="1">IFERROR(__xludf.DUMMYFUNCTION("""COMPUTED_VALUE"""),"")</f>
        <v/>
      </c>
    </row>
    <row r="199" spans="5:5" ht="13" x14ac:dyDescent="0.15">
      <c r="E199" s="3" t="str">
        <f ca="1">IFERROR(__xludf.DUMMYFUNCTION("""COMPUTED_VALUE"""),"")</f>
        <v/>
      </c>
    </row>
    <row r="200" spans="5:5" ht="13" x14ac:dyDescent="0.15">
      <c r="E200" s="3" t="str">
        <f ca="1">IFERROR(__xludf.DUMMYFUNCTION("""COMPUTED_VALUE"""),"")</f>
        <v/>
      </c>
    </row>
    <row r="201" spans="5:5" ht="13" x14ac:dyDescent="0.15">
      <c r="E201" s="3" t="str">
        <f ca="1">IFERROR(__xludf.DUMMYFUNCTION("""COMPUTED_VALUE"""),"")</f>
        <v/>
      </c>
    </row>
    <row r="202" spans="5:5" ht="13" x14ac:dyDescent="0.15">
      <c r="E202" s="3" t="str">
        <f ca="1">IFERROR(__xludf.DUMMYFUNCTION("""COMPUTED_VALUE"""),"")</f>
        <v/>
      </c>
    </row>
    <row r="203" spans="5:5" ht="13" x14ac:dyDescent="0.15">
      <c r="E203" s="3" t="str">
        <f ca="1">IFERROR(__xludf.DUMMYFUNCTION("""COMPUTED_VALUE"""),"")</f>
        <v/>
      </c>
    </row>
    <row r="204" spans="5:5" ht="13" x14ac:dyDescent="0.15">
      <c r="E204" s="3" t="str">
        <f ca="1">IFERROR(__xludf.DUMMYFUNCTION("""COMPUTED_VALUE"""),"")</f>
        <v/>
      </c>
    </row>
    <row r="205" spans="5:5" ht="13" x14ac:dyDescent="0.15">
      <c r="E205" s="3" t="str">
        <f ca="1">IFERROR(__xludf.DUMMYFUNCTION("""COMPUTED_VALUE"""),"")</f>
        <v/>
      </c>
    </row>
    <row r="206" spans="5:5" ht="13" x14ac:dyDescent="0.15">
      <c r="E206" s="3" t="str">
        <f ca="1">IFERROR(__xludf.DUMMYFUNCTION("""COMPUTED_VALUE"""),"")</f>
        <v/>
      </c>
    </row>
    <row r="207" spans="5:5" ht="13" x14ac:dyDescent="0.15">
      <c r="E207" s="3" t="str">
        <f ca="1">IFERROR(__xludf.DUMMYFUNCTION("""COMPUTED_VALUE"""),"")</f>
        <v/>
      </c>
    </row>
    <row r="208" spans="5:5" ht="13" x14ac:dyDescent="0.15">
      <c r="E208" s="3" t="str">
        <f ca="1">IFERROR(__xludf.DUMMYFUNCTION("""COMPUTED_VALUE"""),"")</f>
        <v/>
      </c>
    </row>
    <row r="209" spans="5:5" ht="13" x14ac:dyDescent="0.15">
      <c r="E209" s="3" t="str">
        <f ca="1">IFERROR(__xludf.DUMMYFUNCTION("""COMPUTED_VALUE"""),"")</f>
        <v/>
      </c>
    </row>
    <row r="210" spans="5:5" ht="13" x14ac:dyDescent="0.15">
      <c r="E210" s="3" t="str">
        <f ca="1">IFERROR(__xludf.DUMMYFUNCTION("""COMPUTED_VALUE"""),"")</f>
        <v/>
      </c>
    </row>
    <row r="211" spans="5:5" ht="13" x14ac:dyDescent="0.15">
      <c r="E211" s="3" t="str">
        <f ca="1">IFERROR(__xludf.DUMMYFUNCTION("""COMPUTED_VALUE"""),"")</f>
        <v/>
      </c>
    </row>
    <row r="212" spans="5:5" ht="13" x14ac:dyDescent="0.15">
      <c r="E212" s="3" t="str">
        <f ca="1">IFERROR(__xludf.DUMMYFUNCTION("""COMPUTED_VALUE"""),"")</f>
        <v/>
      </c>
    </row>
    <row r="213" spans="5:5" ht="13" x14ac:dyDescent="0.15">
      <c r="E213" s="3" t="str">
        <f ca="1">IFERROR(__xludf.DUMMYFUNCTION("""COMPUTED_VALUE"""),"")</f>
        <v/>
      </c>
    </row>
    <row r="214" spans="5:5" ht="13" x14ac:dyDescent="0.15">
      <c r="E214" s="3" t="str">
        <f ca="1">IFERROR(__xludf.DUMMYFUNCTION("""COMPUTED_VALUE"""),"")</f>
        <v/>
      </c>
    </row>
    <row r="215" spans="5:5" ht="13" x14ac:dyDescent="0.15">
      <c r="E215" s="3" t="str">
        <f ca="1">IFERROR(__xludf.DUMMYFUNCTION("""COMPUTED_VALUE"""),"")</f>
        <v/>
      </c>
    </row>
    <row r="216" spans="5:5" ht="13" x14ac:dyDescent="0.15">
      <c r="E216" s="3" t="str">
        <f ca="1">IFERROR(__xludf.DUMMYFUNCTION("""COMPUTED_VALUE"""),"")</f>
        <v/>
      </c>
    </row>
    <row r="217" spans="5:5" ht="13" x14ac:dyDescent="0.15">
      <c r="E217" s="3" t="str">
        <f ca="1">IFERROR(__xludf.DUMMYFUNCTION("""COMPUTED_VALUE"""),"")</f>
        <v/>
      </c>
    </row>
    <row r="218" spans="5:5" ht="13" x14ac:dyDescent="0.15">
      <c r="E218" s="3" t="str">
        <f ca="1">IFERROR(__xludf.DUMMYFUNCTION("""COMPUTED_VALUE"""),"")</f>
        <v/>
      </c>
    </row>
    <row r="219" spans="5:5" ht="13" x14ac:dyDescent="0.15">
      <c r="E219" s="3" t="str">
        <f ca="1">IFERROR(__xludf.DUMMYFUNCTION("""COMPUTED_VALUE"""),"")</f>
        <v/>
      </c>
    </row>
    <row r="220" spans="5:5" ht="13" x14ac:dyDescent="0.15">
      <c r="E220" s="3" t="str">
        <f ca="1">IFERROR(__xludf.DUMMYFUNCTION("""COMPUTED_VALUE"""),"")</f>
        <v/>
      </c>
    </row>
    <row r="221" spans="5:5" ht="13" x14ac:dyDescent="0.15">
      <c r="E221" s="3" t="str">
        <f ca="1">IFERROR(__xludf.DUMMYFUNCTION("""COMPUTED_VALUE"""),"")</f>
        <v/>
      </c>
    </row>
    <row r="222" spans="5:5" ht="13" x14ac:dyDescent="0.15">
      <c r="E222" s="3" t="str">
        <f ca="1">IFERROR(__xludf.DUMMYFUNCTION("""COMPUTED_VALUE"""),"")</f>
        <v/>
      </c>
    </row>
    <row r="223" spans="5:5" ht="13" x14ac:dyDescent="0.15">
      <c r="E223" s="3" t="str">
        <f ca="1">IFERROR(__xludf.DUMMYFUNCTION("""COMPUTED_VALUE"""),"")</f>
        <v/>
      </c>
    </row>
    <row r="224" spans="5:5" ht="13" x14ac:dyDescent="0.15">
      <c r="E224" s="3" t="str">
        <f ca="1">IFERROR(__xludf.DUMMYFUNCTION("""COMPUTED_VALUE"""),"")</f>
        <v/>
      </c>
    </row>
    <row r="225" spans="5:5" ht="13" x14ac:dyDescent="0.15">
      <c r="E225" s="3" t="str">
        <f ca="1">IFERROR(__xludf.DUMMYFUNCTION("""COMPUTED_VALUE"""),"")</f>
        <v/>
      </c>
    </row>
    <row r="226" spans="5:5" ht="13" x14ac:dyDescent="0.15">
      <c r="E226" s="3" t="str">
        <f ca="1">IFERROR(__xludf.DUMMYFUNCTION("""COMPUTED_VALUE"""),"")</f>
        <v/>
      </c>
    </row>
    <row r="227" spans="5:5" ht="13" x14ac:dyDescent="0.15">
      <c r="E227" s="3" t="str">
        <f ca="1">IFERROR(__xludf.DUMMYFUNCTION("""COMPUTED_VALUE"""),"")</f>
        <v/>
      </c>
    </row>
    <row r="228" spans="5:5" ht="13" x14ac:dyDescent="0.15">
      <c r="E228" s="3" t="str">
        <f ca="1">IFERROR(__xludf.DUMMYFUNCTION("""COMPUTED_VALUE"""),"")</f>
        <v/>
      </c>
    </row>
    <row r="229" spans="5:5" ht="13" x14ac:dyDescent="0.15">
      <c r="E229" s="3" t="str">
        <f ca="1">IFERROR(__xludf.DUMMYFUNCTION("""COMPUTED_VALUE"""),"")</f>
        <v/>
      </c>
    </row>
    <row r="230" spans="5:5" ht="13" x14ac:dyDescent="0.15">
      <c r="E230" s="3" t="str">
        <f ca="1">IFERROR(__xludf.DUMMYFUNCTION("""COMPUTED_VALUE"""),"")</f>
        <v/>
      </c>
    </row>
    <row r="231" spans="5:5" ht="13" x14ac:dyDescent="0.15">
      <c r="E231" s="3" t="str">
        <f ca="1">IFERROR(__xludf.DUMMYFUNCTION("""COMPUTED_VALUE"""),"")</f>
        <v/>
      </c>
    </row>
    <row r="232" spans="5:5" ht="13" x14ac:dyDescent="0.15">
      <c r="E232" s="3" t="str">
        <f ca="1">IFERROR(__xludf.DUMMYFUNCTION("""COMPUTED_VALUE"""),"")</f>
        <v/>
      </c>
    </row>
    <row r="233" spans="5:5" ht="13" x14ac:dyDescent="0.15">
      <c r="E233" s="3" t="str">
        <f ca="1">IFERROR(__xludf.DUMMYFUNCTION("""COMPUTED_VALUE"""),"")</f>
        <v/>
      </c>
    </row>
    <row r="234" spans="5:5" ht="13" x14ac:dyDescent="0.15">
      <c r="E234" s="3" t="str">
        <f ca="1">IFERROR(__xludf.DUMMYFUNCTION("""COMPUTED_VALUE"""),"")</f>
        <v/>
      </c>
    </row>
    <row r="235" spans="5:5" ht="13" x14ac:dyDescent="0.15">
      <c r="E235" s="3" t="str">
        <f ca="1">IFERROR(__xludf.DUMMYFUNCTION("""COMPUTED_VALUE"""),"")</f>
        <v/>
      </c>
    </row>
    <row r="236" spans="5:5" ht="13" x14ac:dyDescent="0.15">
      <c r="E236" s="3" t="str">
        <f ca="1">IFERROR(__xludf.DUMMYFUNCTION("""COMPUTED_VALUE"""),"")</f>
        <v/>
      </c>
    </row>
    <row r="237" spans="5:5" ht="13" x14ac:dyDescent="0.15">
      <c r="E237" s="3" t="str">
        <f ca="1">IFERROR(__xludf.DUMMYFUNCTION("""COMPUTED_VALUE"""),"")</f>
        <v/>
      </c>
    </row>
    <row r="238" spans="5:5" ht="13" x14ac:dyDescent="0.15">
      <c r="E238" s="3" t="str">
        <f ca="1">IFERROR(__xludf.DUMMYFUNCTION("""COMPUTED_VALUE"""),"")</f>
        <v/>
      </c>
    </row>
    <row r="239" spans="5:5" ht="13" x14ac:dyDescent="0.15">
      <c r="E239" s="3" t="str">
        <f ca="1">IFERROR(__xludf.DUMMYFUNCTION("""COMPUTED_VALUE"""),"")</f>
        <v/>
      </c>
    </row>
    <row r="240" spans="5:5" ht="13" x14ac:dyDescent="0.15">
      <c r="E240" s="3" t="str">
        <f ca="1">IFERROR(__xludf.DUMMYFUNCTION("""COMPUTED_VALUE"""),"")</f>
        <v/>
      </c>
    </row>
    <row r="241" spans="5:5" ht="13" x14ac:dyDescent="0.15">
      <c r="E241" s="3" t="str">
        <f ca="1">IFERROR(__xludf.DUMMYFUNCTION("""COMPUTED_VALUE"""),"")</f>
        <v/>
      </c>
    </row>
    <row r="242" spans="5:5" ht="13" x14ac:dyDescent="0.15">
      <c r="E242" s="3" t="str">
        <f ca="1">IFERROR(__xludf.DUMMYFUNCTION("""COMPUTED_VALUE"""),"")</f>
        <v/>
      </c>
    </row>
    <row r="243" spans="5:5" ht="13" x14ac:dyDescent="0.15">
      <c r="E243" s="3" t="str">
        <f ca="1">IFERROR(__xludf.DUMMYFUNCTION("""COMPUTED_VALUE"""),"")</f>
        <v/>
      </c>
    </row>
    <row r="244" spans="5:5" ht="13" x14ac:dyDescent="0.15">
      <c r="E244" s="3" t="str">
        <f ca="1">IFERROR(__xludf.DUMMYFUNCTION("""COMPUTED_VALUE"""),"")</f>
        <v/>
      </c>
    </row>
    <row r="245" spans="5:5" ht="13" x14ac:dyDescent="0.15">
      <c r="E245" s="3" t="str">
        <f ca="1">IFERROR(__xludf.DUMMYFUNCTION("""COMPUTED_VALUE"""),"")</f>
        <v/>
      </c>
    </row>
    <row r="246" spans="5:5" ht="13" x14ac:dyDescent="0.15">
      <c r="E246" s="3" t="str">
        <f ca="1">IFERROR(__xludf.DUMMYFUNCTION("""COMPUTED_VALUE"""),"")</f>
        <v/>
      </c>
    </row>
    <row r="247" spans="5:5" ht="13" x14ac:dyDescent="0.15">
      <c r="E247" s="3" t="str">
        <f ca="1">IFERROR(__xludf.DUMMYFUNCTION("""COMPUTED_VALUE"""),"")</f>
        <v/>
      </c>
    </row>
    <row r="248" spans="5:5" ht="13" x14ac:dyDescent="0.15">
      <c r="E248" s="3" t="str">
        <f ca="1">IFERROR(__xludf.DUMMYFUNCTION("""COMPUTED_VALUE"""),"")</f>
        <v/>
      </c>
    </row>
    <row r="249" spans="5:5" ht="13" x14ac:dyDescent="0.15">
      <c r="E249" s="3" t="str">
        <f ca="1">IFERROR(__xludf.DUMMYFUNCTION("""COMPUTED_VALUE"""),"")</f>
        <v/>
      </c>
    </row>
    <row r="250" spans="5:5" ht="13" x14ac:dyDescent="0.15">
      <c r="E250" s="3" t="str">
        <f ca="1">IFERROR(__xludf.DUMMYFUNCTION("""COMPUTED_VALUE"""),"")</f>
        <v/>
      </c>
    </row>
    <row r="251" spans="5:5" ht="13" x14ac:dyDescent="0.15">
      <c r="E251" s="3" t="str">
        <f ca="1">IFERROR(__xludf.DUMMYFUNCTION("""COMPUTED_VALUE"""),"")</f>
        <v/>
      </c>
    </row>
    <row r="252" spans="5:5" ht="13" x14ac:dyDescent="0.15">
      <c r="E252" s="3" t="str">
        <f ca="1">IFERROR(__xludf.DUMMYFUNCTION("""COMPUTED_VALUE"""),"")</f>
        <v/>
      </c>
    </row>
    <row r="253" spans="5:5" ht="13" x14ac:dyDescent="0.15">
      <c r="E253" s="3" t="str">
        <f ca="1">IFERROR(__xludf.DUMMYFUNCTION("""COMPUTED_VALUE"""),"")</f>
        <v/>
      </c>
    </row>
    <row r="254" spans="5:5" ht="13" x14ac:dyDescent="0.15">
      <c r="E254" s="3" t="str">
        <f ca="1">IFERROR(__xludf.DUMMYFUNCTION("""COMPUTED_VALUE"""),"")</f>
        <v/>
      </c>
    </row>
    <row r="255" spans="5:5" ht="13" x14ac:dyDescent="0.15">
      <c r="E255" s="3" t="str">
        <f ca="1">IFERROR(__xludf.DUMMYFUNCTION("""COMPUTED_VALUE"""),"")</f>
        <v/>
      </c>
    </row>
    <row r="256" spans="5:5" ht="13" x14ac:dyDescent="0.15">
      <c r="E256" s="3" t="str">
        <f ca="1">IFERROR(__xludf.DUMMYFUNCTION("""COMPUTED_VALUE"""),"")</f>
        <v/>
      </c>
    </row>
    <row r="257" spans="5:5" ht="13" x14ac:dyDescent="0.15">
      <c r="E257" s="3" t="str">
        <f ca="1">IFERROR(__xludf.DUMMYFUNCTION("""COMPUTED_VALUE"""),"")</f>
        <v/>
      </c>
    </row>
    <row r="258" spans="5:5" ht="13" x14ac:dyDescent="0.15">
      <c r="E258" s="3" t="str">
        <f ca="1">IFERROR(__xludf.DUMMYFUNCTION("""COMPUTED_VALUE"""),"")</f>
        <v/>
      </c>
    </row>
    <row r="259" spans="5:5" ht="13" x14ac:dyDescent="0.15">
      <c r="E259" s="3" t="str">
        <f ca="1">IFERROR(__xludf.DUMMYFUNCTION("""COMPUTED_VALUE"""),"")</f>
        <v/>
      </c>
    </row>
    <row r="260" spans="5:5" ht="13" x14ac:dyDescent="0.15">
      <c r="E260" s="3" t="str">
        <f ca="1">IFERROR(__xludf.DUMMYFUNCTION("""COMPUTED_VALUE"""),"")</f>
        <v/>
      </c>
    </row>
    <row r="261" spans="5:5" ht="13" x14ac:dyDescent="0.15">
      <c r="E261" s="3" t="str">
        <f ca="1">IFERROR(__xludf.DUMMYFUNCTION("""COMPUTED_VALUE"""),"")</f>
        <v/>
      </c>
    </row>
    <row r="262" spans="5:5" ht="13" x14ac:dyDescent="0.15">
      <c r="E262" s="3" t="str">
        <f ca="1">IFERROR(__xludf.DUMMYFUNCTION("""COMPUTED_VALUE"""),"")</f>
        <v/>
      </c>
    </row>
    <row r="263" spans="5:5" ht="13" x14ac:dyDescent="0.15">
      <c r="E263" s="3" t="str">
        <f ca="1">IFERROR(__xludf.DUMMYFUNCTION("""COMPUTED_VALUE"""),"")</f>
        <v/>
      </c>
    </row>
    <row r="264" spans="5:5" ht="13" x14ac:dyDescent="0.15">
      <c r="E264" s="3" t="str">
        <f ca="1">IFERROR(__xludf.DUMMYFUNCTION("""COMPUTED_VALUE"""),"")</f>
        <v/>
      </c>
    </row>
    <row r="265" spans="5:5" ht="13" x14ac:dyDescent="0.15">
      <c r="E265" s="3" t="str">
        <f ca="1">IFERROR(__xludf.DUMMYFUNCTION("""COMPUTED_VALUE"""),"")</f>
        <v/>
      </c>
    </row>
    <row r="266" spans="5:5" ht="13" x14ac:dyDescent="0.15">
      <c r="E266" s="3" t="str">
        <f ca="1">IFERROR(__xludf.DUMMYFUNCTION("""COMPUTED_VALUE"""),"")</f>
        <v/>
      </c>
    </row>
    <row r="267" spans="5:5" ht="13" x14ac:dyDescent="0.15">
      <c r="E267" s="3" t="str">
        <f ca="1">IFERROR(__xludf.DUMMYFUNCTION("""COMPUTED_VALUE"""),"")</f>
        <v/>
      </c>
    </row>
    <row r="268" spans="5:5" ht="13" x14ac:dyDescent="0.15">
      <c r="E268" s="3" t="str">
        <f ca="1">IFERROR(__xludf.DUMMYFUNCTION("""COMPUTED_VALUE"""),"")</f>
        <v/>
      </c>
    </row>
    <row r="269" spans="5:5" ht="13" x14ac:dyDescent="0.15">
      <c r="E269" s="3" t="str">
        <f ca="1">IFERROR(__xludf.DUMMYFUNCTION("""COMPUTED_VALUE"""),"")</f>
        <v/>
      </c>
    </row>
    <row r="270" spans="5:5" ht="13" x14ac:dyDescent="0.15">
      <c r="E270" s="3" t="str">
        <f ca="1">IFERROR(__xludf.DUMMYFUNCTION("""COMPUTED_VALUE"""),"")</f>
        <v/>
      </c>
    </row>
    <row r="271" spans="5:5" ht="13" x14ac:dyDescent="0.15">
      <c r="E271" s="3" t="str">
        <f ca="1">IFERROR(__xludf.DUMMYFUNCTION("""COMPUTED_VALUE"""),"")</f>
        <v/>
      </c>
    </row>
    <row r="272" spans="5:5" ht="13" x14ac:dyDescent="0.15">
      <c r="E272" s="3" t="str">
        <f ca="1">IFERROR(__xludf.DUMMYFUNCTION("""COMPUTED_VALUE"""),"")</f>
        <v/>
      </c>
    </row>
    <row r="273" spans="5:5" ht="13" x14ac:dyDescent="0.15">
      <c r="E273" s="3" t="str">
        <f ca="1">IFERROR(__xludf.DUMMYFUNCTION("""COMPUTED_VALUE"""),"")</f>
        <v/>
      </c>
    </row>
    <row r="274" spans="5:5" ht="13" x14ac:dyDescent="0.15">
      <c r="E274" s="3" t="str">
        <f ca="1">IFERROR(__xludf.DUMMYFUNCTION("""COMPUTED_VALUE"""),"")</f>
        <v/>
      </c>
    </row>
    <row r="275" spans="5:5" ht="13" x14ac:dyDescent="0.15">
      <c r="E275" s="3" t="str">
        <f ca="1">IFERROR(__xludf.DUMMYFUNCTION("""COMPUTED_VALUE"""),"")</f>
        <v/>
      </c>
    </row>
    <row r="276" spans="5:5" ht="13" x14ac:dyDescent="0.15">
      <c r="E276" s="3" t="str">
        <f ca="1">IFERROR(__xludf.DUMMYFUNCTION("""COMPUTED_VALUE"""),"")</f>
        <v/>
      </c>
    </row>
    <row r="277" spans="5:5" ht="13" x14ac:dyDescent="0.15">
      <c r="E277" s="3" t="str">
        <f ca="1">IFERROR(__xludf.DUMMYFUNCTION("""COMPUTED_VALUE"""),"")</f>
        <v/>
      </c>
    </row>
    <row r="278" spans="5:5" ht="13" x14ac:dyDescent="0.15">
      <c r="E278" s="3" t="str">
        <f ca="1">IFERROR(__xludf.DUMMYFUNCTION("""COMPUTED_VALUE"""),"")</f>
        <v/>
      </c>
    </row>
    <row r="279" spans="5:5" ht="13" x14ac:dyDescent="0.15">
      <c r="E279" s="3" t="str">
        <f ca="1">IFERROR(__xludf.DUMMYFUNCTION("""COMPUTED_VALUE"""),"")</f>
        <v/>
      </c>
    </row>
    <row r="280" spans="5:5" ht="13" x14ac:dyDescent="0.15">
      <c r="E280" s="3" t="str">
        <f ca="1">IFERROR(__xludf.DUMMYFUNCTION("""COMPUTED_VALUE"""),"")</f>
        <v/>
      </c>
    </row>
    <row r="281" spans="5:5" ht="13" x14ac:dyDescent="0.15">
      <c r="E281" s="3" t="str">
        <f ca="1">IFERROR(__xludf.DUMMYFUNCTION("""COMPUTED_VALUE"""),"")</f>
        <v/>
      </c>
    </row>
    <row r="282" spans="5:5" ht="13" x14ac:dyDescent="0.15">
      <c r="E282" s="3" t="str">
        <f ca="1">IFERROR(__xludf.DUMMYFUNCTION("""COMPUTED_VALUE"""),"")</f>
        <v/>
      </c>
    </row>
    <row r="283" spans="5:5" ht="13" x14ac:dyDescent="0.15">
      <c r="E283" s="3" t="str">
        <f ca="1">IFERROR(__xludf.DUMMYFUNCTION("""COMPUTED_VALUE"""),"")</f>
        <v/>
      </c>
    </row>
    <row r="284" spans="5:5" ht="13" x14ac:dyDescent="0.15">
      <c r="E284" s="3" t="str">
        <f ca="1">IFERROR(__xludf.DUMMYFUNCTION("""COMPUTED_VALUE"""),"")</f>
        <v/>
      </c>
    </row>
    <row r="285" spans="5:5" ht="13" x14ac:dyDescent="0.15">
      <c r="E285" s="3" t="str">
        <f ca="1">IFERROR(__xludf.DUMMYFUNCTION("""COMPUTED_VALUE"""),"")</f>
        <v/>
      </c>
    </row>
    <row r="286" spans="5:5" ht="13" x14ac:dyDescent="0.15">
      <c r="E286" s="3" t="str">
        <f ca="1">IFERROR(__xludf.DUMMYFUNCTION("""COMPUTED_VALUE"""),"")</f>
        <v/>
      </c>
    </row>
    <row r="287" spans="5:5" ht="13" x14ac:dyDescent="0.15">
      <c r="E287" s="3" t="str">
        <f ca="1">IFERROR(__xludf.DUMMYFUNCTION("""COMPUTED_VALUE"""),"")</f>
        <v/>
      </c>
    </row>
    <row r="288" spans="5:5" ht="13" x14ac:dyDescent="0.15">
      <c r="E288" s="3" t="str">
        <f ca="1">IFERROR(__xludf.DUMMYFUNCTION("""COMPUTED_VALUE"""),"")</f>
        <v/>
      </c>
    </row>
    <row r="289" spans="5:5" ht="13" x14ac:dyDescent="0.15">
      <c r="E289" s="3" t="str">
        <f ca="1">IFERROR(__xludf.DUMMYFUNCTION("""COMPUTED_VALUE"""),"")</f>
        <v/>
      </c>
    </row>
    <row r="290" spans="5:5" ht="13" x14ac:dyDescent="0.15">
      <c r="E290" s="3" t="str">
        <f ca="1">IFERROR(__xludf.DUMMYFUNCTION("""COMPUTED_VALUE"""),"")</f>
        <v/>
      </c>
    </row>
    <row r="291" spans="5:5" ht="13" x14ac:dyDescent="0.15">
      <c r="E291" s="3" t="str">
        <f ca="1">IFERROR(__xludf.DUMMYFUNCTION("""COMPUTED_VALUE"""),"")</f>
        <v/>
      </c>
    </row>
    <row r="292" spans="5:5" ht="13" x14ac:dyDescent="0.15">
      <c r="E292" s="3" t="str">
        <f ca="1">IFERROR(__xludf.DUMMYFUNCTION("""COMPUTED_VALUE"""),"")</f>
        <v/>
      </c>
    </row>
    <row r="293" spans="5:5" ht="13" x14ac:dyDescent="0.15">
      <c r="E293" s="3" t="str">
        <f ca="1">IFERROR(__xludf.DUMMYFUNCTION("""COMPUTED_VALUE"""),"")</f>
        <v/>
      </c>
    </row>
    <row r="294" spans="5:5" ht="13" x14ac:dyDescent="0.15">
      <c r="E294" s="3" t="str">
        <f ca="1">IFERROR(__xludf.DUMMYFUNCTION("""COMPUTED_VALUE"""),"")</f>
        <v/>
      </c>
    </row>
    <row r="295" spans="5:5" ht="13" x14ac:dyDescent="0.15">
      <c r="E295" s="3" t="str">
        <f ca="1">IFERROR(__xludf.DUMMYFUNCTION("""COMPUTED_VALUE"""),"")</f>
        <v/>
      </c>
    </row>
    <row r="296" spans="5:5" ht="13" x14ac:dyDescent="0.15">
      <c r="E296" s="3" t="str">
        <f ca="1">IFERROR(__xludf.DUMMYFUNCTION("""COMPUTED_VALUE"""),"")</f>
        <v/>
      </c>
    </row>
    <row r="297" spans="5:5" ht="13" x14ac:dyDescent="0.15">
      <c r="E297" s="3" t="str">
        <f ca="1">IFERROR(__xludf.DUMMYFUNCTION("""COMPUTED_VALUE"""),"")</f>
        <v/>
      </c>
    </row>
    <row r="298" spans="5:5" ht="13" x14ac:dyDescent="0.15">
      <c r="E298" s="3" t="str">
        <f ca="1">IFERROR(__xludf.DUMMYFUNCTION("""COMPUTED_VALUE"""),"")</f>
        <v/>
      </c>
    </row>
    <row r="299" spans="5:5" ht="13" x14ac:dyDescent="0.15">
      <c r="E299" s="3" t="str">
        <f ca="1">IFERROR(__xludf.DUMMYFUNCTION("""COMPUTED_VALUE"""),"")</f>
        <v/>
      </c>
    </row>
    <row r="300" spans="5:5" ht="13" x14ac:dyDescent="0.15">
      <c r="E300" s="3" t="str">
        <f ca="1">IFERROR(__xludf.DUMMYFUNCTION("""COMPUTED_VALUE"""),"")</f>
        <v/>
      </c>
    </row>
    <row r="301" spans="5:5" ht="13" x14ac:dyDescent="0.15">
      <c r="E301" s="3" t="str">
        <f ca="1">IFERROR(__xludf.DUMMYFUNCTION("""COMPUTED_VALUE"""),"")</f>
        <v/>
      </c>
    </row>
    <row r="302" spans="5:5" ht="13" x14ac:dyDescent="0.15">
      <c r="E302" s="3" t="str">
        <f ca="1">IFERROR(__xludf.DUMMYFUNCTION("""COMPUTED_VALUE"""),"")</f>
        <v/>
      </c>
    </row>
    <row r="303" spans="5:5" ht="13" x14ac:dyDescent="0.15">
      <c r="E303" s="3" t="str">
        <f ca="1">IFERROR(__xludf.DUMMYFUNCTION("""COMPUTED_VALUE"""),"")</f>
        <v/>
      </c>
    </row>
    <row r="304" spans="5:5" ht="13" x14ac:dyDescent="0.15">
      <c r="E304" s="3" t="str">
        <f ca="1">IFERROR(__xludf.DUMMYFUNCTION("""COMPUTED_VALUE"""),"")</f>
        <v/>
      </c>
    </row>
    <row r="305" spans="5:5" ht="13" x14ac:dyDescent="0.15">
      <c r="E305" s="3" t="str">
        <f ca="1">IFERROR(__xludf.DUMMYFUNCTION("""COMPUTED_VALUE"""),"")</f>
        <v/>
      </c>
    </row>
    <row r="306" spans="5:5" ht="13" x14ac:dyDescent="0.15">
      <c r="E306" s="3" t="str">
        <f ca="1">IFERROR(__xludf.DUMMYFUNCTION("""COMPUTED_VALUE"""),"")</f>
        <v/>
      </c>
    </row>
    <row r="307" spans="5:5" ht="13" x14ac:dyDescent="0.15">
      <c r="E307" s="3" t="str">
        <f ca="1">IFERROR(__xludf.DUMMYFUNCTION("""COMPUTED_VALUE"""),"")</f>
        <v/>
      </c>
    </row>
    <row r="308" spans="5:5" ht="13" x14ac:dyDescent="0.15">
      <c r="E308" s="3" t="str">
        <f ca="1">IFERROR(__xludf.DUMMYFUNCTION("""COMPUTED_VALUE"""),"")</f>
        <v/>
      </c>
    </row>
    <row r="309" spans="5:5" ht="13" x14ac:dyDescent="0.15">
      <c r="E309" s="3" t="str">
        <f ca="1">IFERROR(__xludf.DUMMYFUNCTION("""COMPUTED_VALUE"""),"")</f>
        <v/>
      </c>
    </row>
    <row r="310" spans="5:5" ht="13" x14ac:dyDescent="0.15">
      <c r="E310" s="3" t="str">
        <f ca="1">IFERROR(__xludf.DUMMYFUNCTION("""COMPUTED_VALUE"""),"")</f>
        <v/>
      </c>
    </row>
    <row r="311" spans="5:5" ht="13" x14ac:dyDescent="0.15">
      <c r="E311" s="3" t="str">
        <f ca="1">IFERROR(__xludf.DUMMYFUNCTION("""COMPUTED_VALUE"""),"")</f>
        <v/>
      </c>
    </row>
    <row r="312" spans="5:5" ht="13" x14ac:dyDescent="0.15">
      <c r="E312" s="3" t="str">
        <f ca="1">IFERROR(__xludf.DUMMYFUNCTION("""COMPUTED_VALUE"""),"")</f>
        <v/>
      </c>
    </row>
    <row r="313" spans="5:5" ht="13" x14ac:dyDescent="0.15">
      <c r="E313" s="3" t="str">
        <f ca="1">IFERROR(__xludf.DUMMYFUNCTION("""COMPUTED_VALUE"""),"")</f>
        <v/>
      </c>
    </row>
    <row r="314" spans="5:5" ht="13" x14ac:dyDescent="0.15">
      <c r="E314" s="3" t="str">
        <f ca="1">IFERROR(__xludf.DUMMYFUNCTION("""COMPUTED_VALUE"""),"")</f>
        <v/>
      </c>
    </row>
    <row r="315" spans="5:5" ht="13" x14ac:dyDescent="0.15">
      <c r="E315" s="3" t="str">
        <f ca="1">IFERROR(__xludf.DUMMYFUNCTION("""COMPUTED_VALUE"""),"")</f>
        <v/>
      </c>
    </row>
    <row r="316" spans="5:5" ht="13" x14ac:dyDescent="0.15">
      <c r="E316" s="3" t="str">
        <f ca="1">IFERROR(__xludf.DUMMYFUNCTION("""COMPUTED_VALUE"""),"")</f>
        <v/>
      </c>
    </row>
    <row r="317" spans="5:5" ht="13" x14ac:dyDescent="0.15">
      <c r="E317" s="3" t="str">
        <f ca="1">IFERROR(__xludf.DUMMYFUNCTION("""COMPUTED_VALUE"""),"")</f>
        <v/>
      </c>
    </row>
    <row r="318" spans="5:5" ht="13" x14ac:dyDescent="0.15">
      <c r="E318" s="3" t="str">
        <f ca="1">IFERROR(__xludf.DUMMYFUNCTION("""COMPUTED_VALUE"""),"")</f>
        <v/>
      </c>
    </row>
    <row r="319" spans="5:5" ht="13" x14ac:dyDescent="0.15">
      <c r="E319" s="3" t="str">
        <f ca="1">IFERROR(__xludf.DUMMYFUNCTION("""COMPUTED_VALUE"""),"")</f>
        <v/>
      </c>
    </row>
    <row r="320" spans="5:5" ht="13" x14ac:dyDescent="0.15">
      <c r="E320" s="3" t="str">
        <f ca="1">IFERROR(__xludf.DUMMYFUNCTION("""COMPUTED_VALUE"""),"")</f>
        <v/>
      </c>
    </row>
    <row r="321" spans="5:5" ht="13" x14ac:dyDescent="0.15">
      <c r="E321" s="3" t="str">
        <f ca="1">IFERROR(__xludf.DUMMYFUNCTION("""COMPUTED_VALUE"""),"")</f>
        <v/>
      </c>
    </row>
    <row r="322" spans="5:5" ht="13" x14ac:dyDescent="0.15">
      <c r="E322" s="3" t="str">
        <f ca="1">IFERROR(__xludf.DUMMYFUNCTION("""COMPUTED_VALUE"""),"")</f>
        <v/>
      </c>
    </row>
    <row r="323" spans="5:5" ht="13" x14ac:dyDescent="0.15">
      <c r="E323" s="3" t="str">
        <f ca="1">IFERROR(__xludf.DUMMYFUNCTION("""COMPUTED_VALUE"""),"")</f>
        <v/>
      </c>
    </row>
    <row r="324" spans="5:5" ht="13" x14ac:dyDescent="0.15">
      <c r="E324" s="3" t="str">
        <f ca="1">IFERROR(__xludf.DUMMYFUNCTION("""COMPUTED_VALUE"""),"")</f>
        <v/>
      </c>
    </row>
    <row r="325" spans="5:5" ht="13" x14ac:dyDescent="0.15">
      <c r="E325" s="3" t="str">
        <f ca="1">IFERROR(__xludf.DUMMYFUNCTION("""COMPUTED_VALUE"""),"")</f>
        <v/>
      </c>
    </row>
    <row r="326" spans="5:5" ht="13" x14ac:dyDescent="0.15">
      <c r="E326" s="3" t="str">
        <f ca="1">IFERROR(__xludf.DUMMYFUNCTION("""COMPUTED_VALUE"""),"")</f>
        <v/>
      </c>
    </row>
    <row r="327" spans="5:5" ht="13" x14ac:dyDescent="0.15">
      <c r="E327" s="3" t="str">
        <f ca="1">IFERROR(__xludf.DUMMYFUNCTION("""COMPUTED_VALUE"""),"")</f>
        <v/>
      </c>
    </row>
    <row r="328" spans="5:5" ht="13" x14ac:dyDescent="0.15">
      <c r="E328" s="3" t="str">
        <f ca="1">IFERROR(__xludf.DUMMYFUNCTION("""COMPUTED_VALUE"""),"")</f>
        <v/>
      </c>
    </row>
    <row r="329" spans="5:5" ht="13" x14ac:dyDescent="0.15">
      <c r="E329" s="3" t="str">
        <f ca="1">IFERROR(__xludf.DUMMYFUNCTION("""COMPUTED_VALUE"""),"")</f>
        <v/>
      </c>
    </row>
    <row r="330" spans="5:5" ht="13" x14ac:dyDescent="0.15">
      <c r="E330" s="3" t="str">
        <f ca="1">IFERROR(__xludf.DUMMYFUNCTION("""COMPUTED_VALUE"""),"")</f>
        <v/>
      </c>
    </row>
    <row r="331" spans="5:5" ht="13" x14ac:dyDescent="0.15">
      <c r="E331" s="3" t="str">
        <f ca="1">IFERROR(__xludf.DUMMYFUNCTION("""COMPUTED_VALUE"""),"")</f>
        <v/>
      </c>
    </row>
    <row r="332" spans="5:5" ht="13" x14ac:dyDescent="0.15">
      <c r="E332" s="3" t="str">
        <f ca="1">IFERROR(__xludf.DUMMYFUNCTION("""COMPUTED_VALUE"""),"")</f>
        <v/>
      </c>
    </row>
    <row r="333" spans="5:5" ht="13" x14ac:dyDescent="0.15">
      <c r="E333" s="3" t="str">
        <f ca="1">IFERROR(__xludf.DUMMYFUNCTION("""COMPUTED_VALUE"""),"")</f>
        <v/>
      </c>
    </row>
    <row r="334" spans="5:5" ht="13" x14ac:dyDescent="0.15">
      <c r="E334" s="3" t="str">
        <f ca="1">IFERROR(__xludf.DUMMYFUNCTION("""COMPUTED_VALUE"""),"")</f>
        <v/>
      </c>
    </row>
    <row r="335" spans="5:5" ht="13" x14ac:dyDescent="0.15">
      <c r="E335" s="3" t="str">
        <f ca="1">IFERROR(__xludf.DUMMYFUNCTION("""COMPUTED_VALUE"""),"")</f>
        <v/>
      </c>
    </row>
    <row r="336" spans="5:5" ht="13" x14ac:dyDescent="0.15">
      <c r="E336" s="3" t="str">
        <f ca="1">IFERROR(__xludf.DUMMYFUNCTION("""COMPUTED_VALUE"""),"")</f>
        <v/>
      </c>
    </row>
    <row r="337" spans="5:5" ht="13" x14ac:dyDescent="0.15">
      <c r="E337" s="3" t="str">
        <f ca="1">IFERROR(__xludf.DUMMYFUNCTION("""COMPUTED_VALUE"""),"")</f>
        <v/>
      </c>
    </row>
    <row r="338" spans="5:5" ht="13" x14ac:dyDescent="0.15">
      <c r="E338" s="3" t="str">
        <f ca="1">IFERROR(__xludf.DUMMYFUNCTION("""COMPUTED_VALUE"""),"")</f>
        <v/>
      </c>
    </row>
    <row r="339" spans="5:5" ht="13" x14ac:dyDescent="0.15">
      <c r="E339" s="3" t="str">
        <f ca="1">IFERROR(__xludf.DUMMYFUNCTION("""COMPUTED_VALUE"""),"")</f>
        <v/>
      </c>
    </row>
    <row r="340" spans="5:5" ht="13" x14ac:dyDescent="0.15">
      <c r="E340" s="3" t="str">
        <f ca="1">IFERROR(__xludf.DUMMYFUNCTION("""COMPUTED_VALUE"""),"")</f>
        <v/>
      </c>
    </row>
    <row r="341" spans="5:5" ht="13" x14ac:dyDescent="0.15">
      <c r="E341" s="3" t="str">
        <f ca="1">IFERROR(__xludf.DUMMYFUNCTION("""COMPUTED_VALUE"""),"")</f>
        <v/>
      </c>
    </row>
    <row r="342" spans="5:5" ht="13" x14ac:dyDescent="0.15">
      <c r="E342" s="3" t="str">
        <f ca="1">IFERROR(__xludf.DUMMYFUNCTION("""COMPUTED_VALUE"""),"")</f>
        <v/>
      </c>
    </row>
    <row r="343" spans="5:5" ht="13" x14ac:dyDescent="0.15">
      <c r="E343" s="3" t="str">
        <f ca="1">IFERROR(__xludf.DUMMYFUNCTION("""COMPUTED_VALUE"""),"")</f>
        <v/>
      </c>
    </row>
    <row r="344" spans="5:5" ht="13" x14ac:dyDescent="0.15">
      <c r="E344" s="3" t="str">
        <f ca="1">IFERROR(__xludf.DUMMYFUNCTION("""COMPUTED_VALUE"""),"")</f>
        <v/>
      </c>
    </row>
    <row r="345" spans="5:5" ht="13" x14ac:dyDescent="0.15">
      <c r="E345" s="3" t="str">
        <f ca="1">IFERROR(__xludf.DUMMYFUNCTION("""COMPUTED_VALUE"""),"")</f>
        <v/>
      </c>
    </row>
    <row r="346" spans="5:5" ht="13" x14ac:dyDescent="0.15">
      <c r="E346" s="3" t="str">
        <f ca="1">IFERROR(__xludf.DUMMYFUNCTION("""COMPUTED_VALUE"""),"")</f>
        <v/>
      </c>
    </row>
    <row r="347" spans="5:5" ht="13" x14ac:dyDescent="0.15">
      <c r="E347" s="3" t="str">
        <f ca="1">IFERROR(__xludf.DUMMYFUNCTION("""COMPUTED_VALUE"""),"")</f>
        <v/>
      </c>
    </row>
    <row r="348" spans="5:5" ht="13" x14ac:dyDescent="0.15">
      <c r="E348" s="3" t="str">
        <f ca="1">IFERROR(__xludf.DUMMYFUNCTION("""COMPUTED_VALUE"""),"")</f>
        <v/>
      </c>
    </row>
    <row r="349" spans="5:5" ht="13" x14ac:dyDescent="0.15">
      <c r="E349" s="3" t="str">
        <f ca="1">IFERROR(__xludf.DUMMYFUNCTION("""COMPUTED_VALUE"""),"")</f>
        <v/>
      </c>
    </row>
    <row r="350" spans="5:5" ht="13" x14ac:dyDescent="0.15">
      <c r="E350" s="3" t="str">
        <f ca="1">IFERROR(__xludf.DUMMYFUNCTION("""COMPUTED_VALUE"""),"")</f>
        <v/>
      </c>
    </row>
    <row r="351" spans="5:5" ht="13" x14ac:dyDescent="0.15">
      <c r="E351" s="3" t="str">
        <f ca="1">IFERROR(__xludf.DUMMYFUNCTION("""COMPUTED_VALUE"""),"")</f>
        <v/>
      </c>
    </row>
    <row r="352" spans="5:5" ht="13" x14ac:dyDescent="0.15">
      <c r="E352" s="3" t="str">
        <f ca="1">IFERROR(__xludf.DUMMYFUNCTION("""COMPUTED_VALUE"""),"")</f>
        <v/>
      </c>
    </row>
    <row r="353" spans="5:5" ht="13" x14ac:dyDescent="0.15">
      <c r="E353" s="3" t="str">
        <f ca="1">IFERROR(__xludf.DUMMYFUNCTION("""COMPUTED_VALUE"""),"")</f>
        <v/>
      </c>
    </row>
    <row r="354" spans="5:5" ht="13" x14ac:dyDescent="0.15">
      <c r="E354" s="3" t="str">
        <f ca="1">IFERROR(__xludf.DUMMYFUNCTION("""COMPUTED_VALUE"""),"")</f>
        <v/>
      </c>
    </row>
    <row r="355" spans="5:5" ht="13" x14ac:dyDescent="0.15">
      <c r="E355" s="3" t="str">
        <f ca="1">IFERROR(__xludf.DUMMYFUNCTION("""COMPUTED_VALUE"""),"")</f>
        <v/>
      </c>
    </row>
    <row r="356" spans="5:5" ht="13" x14ac:dyDescent="0.15">
      <c r="E356" s="3" t="str">
        <f ca="1">IFERROR(__xludf.DUMMYFUNCTION("""COMPUTED_VALUE"""),"")</f>
        <v/>
      </c>
    </row>
    <row r="357" spans="5:5" ht="13" x14ac:dyDescent="0.15">
      <c r="E357" s="3" t="str">
        <f ca="1">IFERROR(__xludf.DUMMYFUNCTION("""COMPUTED_VALUE"""),"")</f>
        <v/>
      </c>
    </row>
    <row r="358" spans="5:5" ht="13" x14ac:dyDescent="0.15">
      <c r="E358" s="3" t="str">
        <f ca="1">IFERROR(__xludf.DUMMYFUNCTION("""COMPUTED_VALUE"""),"")</f>
        <v/>
      </c>
    </row>
    <row r="359" spans="5:5" ht="13" x14ac:dyDescent="0.15">
      <c r="E359" s="3" t="str">
        <f ca="1">IFERROR(__xludf.DUMMYFUNCTION("""COMPUTED_VALUE"""),"")</f>
        <v/>
      </c>
    </row>
    <row r="360" spans="5:5" ht="13" x14ac:dyDescent="0.15">
      <c r="E360" s="3" t="str">
        <f ca="1">IFERROR(__xludf.DUMMYFUNCTION("""COMPUTED_VALUE"""),"")</f>
        <v/>
      </c>
    </row>
    <row r="361" spans="5:5" ht="13" x14ac:dyDescent="0.15">
      <c r="E361" s="3" t="str">
        <f ca="1">IFERROR(__xludf.DUMMYFUNCTION("""COMPUTED_VALUE"""),"")</f>
        <v/>
      </c>
    </row>
    <row r="362" spans="5:5" ht="13" x14ac:dyDescent="0.15">
      <c r="E362" s="3" t="str">
        <f ca="1">IFERROR(__xludf.DUMMYFUNCTION("""COMPUTED_VALUE"""),"")</f>
        <v/>
      </c>
    </row>
    <row r="363" spans="5:5" ht="13" x14ac:dyDescent="0.15">
      <c r="E363" s="3" t="str">
        <f ca="1">IFERROR(__xludf.DUMMYFUNCTION("""COMPUTED_VALUE"""),"")</f>
        <v/>
      </c>
    </row>
    <row r="364" spans="5:5" ht="13" x14ac:dyDescent="0.15">
      <c r="E364" s="3" t="str">
        <f ca="1">IFERROR(__xludf.DUMMYFUNCTION("""COMPUTED_VALUE"""),"")</f>
        <v/>
      </c>
    </row>
    <row r="365" spans="5:5" ht="13" x14ac:dyDescent="0.15">
      <c r="E365" s="3" t="str">
        <f ca="1">IFERROR(__xludf.DUMMYFUNCTION("""COMPUTED_VALUE"""),"")</f>
        <v/>
      </c>
    </row>
    <row r="366" spans="5:5" ht="13" x14ac:dyDescent="0.15">
      <c r="E366" s="3" t="str">
        <f ca="1">IFERROR(__xludf.DUMMYFUNCTION("""COMPUTED_VALUE"""),"")</f>
        <v/>
      </c>
    </row>
    <row r="367" spans="5:5" ht="13" x14ac:dyDescent="0.15">
      <c r="E367" s="3" t="str">
        <f ca="1">IFERROR(__xludf.DUMMYFUNCTION("""COMPUTED_VALUE"""),"")</f>
        <v/>
      </c>
    </row>
    <row r="368" spans="5:5" ht="13" x14ac:dyDescent="0.15">
      <c r="E368" s="3" t="str">
        <f ca="1">IFERROR(__xludf.DUMMYFUNCTION("""COMPUTED_VALUE"""),"")</f>
        <v/>
      </c>
    </row>
    <row r="369" spans="5:5" ht="13" x14ac:dyDescent="0.15">
      <c r="E369" s="3" t="str">
        <f ca="1">IFERROR(__xludf.DUMMYFUNCTION("""COMPUTED_VALUE"""),"")</f>
        <v/>
      </c>
    </row>
    <row r="370" spans="5:5" ht="13" x14ac:dyDescent="0.15">
      <c r="E370" s="3" t="str">
        <f ca="1">IFERROR(__xludf.DUMMYFUNCTION("""COMPUTED_VALUE"""),"")</f>
        <v/>
      </c>
    </row>
    <row r="371" spans="5:5" ht="13" x14ac:dyDescent="0.15">
      <c r="E371" s="3" t="str">
        <f ca="1">IFERROR(__xludf.DUMMYFUNCTION("""COMPUTED_VALUE"""),"")</f>
        <v/>
      </c>
    </row>
    <row r="372" spans="5:5" ht="13" x14ac:dyDescent="0.15">
      <c r="E372" s="3" t="str">
        <f ca="1">IFERROR(__xludf.DUMMYFUNCTION("""COMPUTED_VALUE"""),"")</f>
        <v/>
      </c>
    </row>
    <row r="373" spans="5:5" ht="13" x14ac:dyDescent="0.15">
      <c r="E373" s="3" t="str">
        <f ca="1">IFERROR(__xludf.DUMMYFUNCTION("""COMPUTED_VALUE"""),"")</f>
        <v/>
      </c>
    </row>
    <row r="374" spans="5:5" ht="13" x14ac:dyDescent="0.15">
      <c r="E374" s="3" t="str">
        <f ca="1">IFERROR(__xludf.DUMMYFUNCTION("""COMPUTED_VALUE"""),"")</f>
        <v/>
      </c>
    </row>
    <row r="375" spans="5:5" ht="13" x14ac:dyDescent="0.15">
      <c r="E375" s="3" t="str">
        <f ca="1">IFERROR(__xludf.DUMMYFUNCTION("""COMPUTED_VALUE"""),"")</f>
        <v/>
      </c>
    </row>
    <row r="376" spans="5:5" ht="13" x14ac:dyDescent="0.15">
      <c r="E376" s="3" t="str">
        <f ca="1">IFERROR(__xludf.DUMMYFUNCTION("""COMPUTED_VALUE"""),"")</f>
        <v/>
      </c>
    </row>
    <row r="377" spans="5:5" ht="13" x14ac:dyDescent="0.15">
      <c r="E377" s="3" t="str">
        <f ca="1">IFERROR(__xludf.DUMMYFUNCTION("""COMPUTED_VALUE"""),"")</f>
        <v/>
      </c>
    </row>
    <row r="378" spans="5:5" ht="13" x14ac:dyDescent="0.15">
      <c r="E378" s="3" t="str">
        <f ca="1">IFERROR(__xludf.DUMMYFUNCTION("""COMPUTED_VALUE"""),"")</f>
        <v/>
      </c>
    </row>
    <row r="379" spans="5:5" ht="13" x14ac:dyDescent="0.15">
      <c r="E379" s="3" t="str">
        <f ca="1">IFERROR(__xludf.DUMMYFUNCTION("""COMPUTED_VALUE"""),"")</f>
        <v/>
      </c>
    </row>
    <row r="380" spans="5:5" ht="13" x14ac:dyDescent="0.15">
      <c r="E380" s="3" t="str">
        <f ca="1">IFERROR(__xludf.DUMMYFUNCTION("""COMPUTED_VALUE"""),"")</f>
        <v/>
      </c>
    </row>
    <row r="381" spans="5:5" ht="13" x14ac:dyDescent="0.15">
      <c r="E381" s="3" t="str">
        <f ca="1">IFERROR(__xludf.DUMMYFUNCTION("""COMPUTED_VALUE"""),"")</f>
        <v/>
      </c>
    </row>
    <row r="382" spans="5:5" ht="13" x14ac:dyDescent="0.15">
      <c r="E382" s="3" t="str">
        <f ca="1">IFERROR(__xludf.DUMMYFUNCTION("""COMPUTED_VALUE"""),"")</f>
        <v/>
      </c>
    </row>
    <row r="383" spans="5:5" ht="13" x14ac:dyDescent="0.15">
      <c r="E383" s="3" t="str">
        <f ca="1">IFERROR(__xludf.DUMMYFUNCTION("""COMPUTED_VALUE"""),"")</f>
        <v/>
      </c>
    </row>
    <row r="384" spans="5:5" ht="13" x14ac:dyDescent="0.15">
      <c r="E384" s="3" t="str">
        <f ca="1">IFERROR(__xludf.DUMMYFUNCTION("""COMPUTED_VALUE"""),"")</f>
        <v/>
      </c>
    </row>
    <row r="385" spans="5:5" ht="13" x14ac:dyDescent="0.15">
      <c r="E385" s="3" t="str">
        <f ca="1">IFERROR(__xludf.DUMMYFUNCTION("""COMPUTED_VALUE"""),"")</f>
        <v/>
      </c>
    </row>
    <row r="386" spans="5:5" ht="13" x14ac:dyDescent="0.15">
      <c r="E386" s="3" t="str">
        <f ca="1">IFERROR(__xludf.DUMMYFUNCTION("""COMPUTED_VALUE"""),"")</f>
        <v/>
      </c>
    </row>
    <row r="387" spans="5:5" ht="13" x14ac:dyDescent="0.15">
      <c r="E387" s="3" t="str">
        <f ca="1">IFERROR(__xludf.DUMMYFUNCTION("""COMPUTED_VALUE"""),"")</f>
        <v/>
      </c>
    </row>
    <row r="388" spans="5:5" ht="13" x14ac:dyDescent="0.15">
      <c r="E388" s="3" t="str">
        <f ca="1">IFERROR(__xludf.DUMMYFUNCTION("""COMPUTED_VALUE"""),"")</f>
        <v/>
      </c>
    </row>
    <row r="389" spans="5:5" ht="13" x14ac:dyDescent="0.15">
      <c r="E389" s="3" t="str">
        <f ca="1">IFERROR(__xludf.DUMMYFUNCTION("""COMPUTED_VALUE"""),"")</f>
        <v/>
      </c>
    </row>
    <row r="390" spans="5:5" ht="13" x14ac:dyDescent="0.15">
      <c r="E390" s="3" t="str">
        <f ca="1">IFERROR(__xludf.DUMMYFUNCTION("""COMPUTED_VALUE"""),"")</f>
        <v/>
      </c>
    </row>
    <row r="391" spans="5:5" ht="13" x14ac:dyDescent="0.15">
      <c r="E391" s="3" t="str">
        <f ca="1">IFERROR(__xludf.DUMMYFUNCTION("""COMPUTED_VALUE"""),"")</f>
        <v/>
      </c>
    </row>
    <row r="392" spans="5:5" ht="13" x14ac:dyDescent="0.15">
      <c r="E392" s="3" t="str">
        <f ca="1">IFERROR(__xludf.DUMMYFUNCTION("""COMPUTED_VALUE"""),"")</f>
        <v/>
      </c>
    </row>
    <row r="393" spans="5:5" ht="13" x14ac:dyDescent="0.15">
      <c r="E393" s="3" t="str">
        <f ca="1">IFERROR(__xludf.DUMMYFUNCTION("""COMPUTED_VALUE"""),"")</f>
        <v/>
      </c>
    </row>
    <row r="394" spans="5:5" ht="13" x14ac:dyDescent="0.15">
      <c r="E394" s="3" t="str">
        <f ca="1">IFERROR(__xludf.DUMMYFUNCTION("""COMPUTED_VALUE"""),"")</f>
        <v/>
      </c>
    </row>
    <row r="395" spans="5:5" ht="13" x14ac:dyDescent="0.15">
      <c r="E395" s="3" t="str">
        <f ca="1">IFERROR(__xludf.DUMMYFUNCTION("""COMPUTED_VALUE"""),"")</f>
        <v/>
      </c>
    </row>
    <row r="396" spans="5:5" ht="13" x14ac:dyDescent="0.15">
      <c r="E396" s="3" t="str">
        <f ca="1">IFERROR(__xludf.DUMMYFUNCTION("""COMPUTED_VALUE"""),"")</f>
        <v/>
      </c>
    </row>
    <row r="397" spans="5:5" ht="13" x14ac:dyDescent="0.15">
      <c r="E397" s="3" t="str">
        <f ca="1">IFERROR(__xludf.DUMMYFUNCTION("""COMPUTED_VALUE"""),"")</f>
        <v/>
      </c>
    </row>
    <row r="398" spans="5:5" ht="13" x14ac:dyDescent="0.15">
      <c r="E398" s="3" t="str">
        <f ca="1">IFERROR(__xludf.DUMMYFUNCTION("""COMPUTED_VALUE"""),"")</f>
        <v/>
      </c>
    </row>
    <row r="399" spans="5:5" ht="13" x14ac:dyDescent="0.15">
      <c r="E399" s="3" t="str">
        <f ca="1">IFERROR(__xludf.DUMMYFUNCTION("""COMPUTED_VALUE"""),"")</f>
        <v/>
      </c>
    </row>
    <row r="400" spans="5:5" ht="13" x14ac:dyDescent="0.15">
      <c r="E400" s="3" t="str">
        <f ca="1">IFERROR(__xludf.DUMMYFUNCTION("""COMPUTED_VALUE"""),"")</f>
        <v/>
      </c>
    </row>
    <row r="401" spans="5:5" ht="13" x14ac:dyDescent="0.15">
      <c r="E401" s="3" t="str">
        <f ca="1">IFERROR(__xludf.DUMMYFUNCTION("""COMPUTED_VALUE"""),"")</f>
        <v/>
      </c>
    </row>
    <row r="402" spans="5:5" ht="13" x14ac:dyDescent="0.15">
      <c r="E402" s="3" t="str">
        <f ca="1">IFERROR(__xludf.DUMMYFUNCTION("""COMPUTED_VALUE"""),"")</f>
        <v/>
      </c>
    </row>
    <row r="403" spans="5:5" ht="13" x14ac:dyDescent="0.15">
      <c r="E403" s="3" t="str">
        <f ca="1">IFERROR(__xludf.DUMMYFUNCTION("""COMPUTED_VALUE"""),"")</f>
        <v/>
      </c>
    </row>
    <row r="404" spans="5:5" ht="13" x14ac:dyDescent="0.15">
      <c r="E404" s="3" t="str">
        <f ca="1">IFERROR(__xludf.DUMMYFUNCTION("""COMPUTED_VALUE"""),"")</f>
        <v/>
      </c>
    </row>
    <row r="405" spans="5:5" ht="13" x14ac:dyDescent="0.15">
      <c r="E405" s="3" t="str">
        <f ca="1">IFERROR(__xludf.DUMMYFUNCTION("""COMPUTED_VALUE"""),"")</f>
        <v/>
      </c>
    </row>
    <row r="406" spans="5:5" ht="13" x14ac:dyDescent="0.15">
      <c r="E406" s="3" t="str">
        <f ca="1">IFERROR(__xludf.DUMMYFUNCTION("""COMPUTED_VALUE"""),"")</f>
        <v/>
      </c>
    </row>
    <row r="407" spans="5:5" ht="13" x14ac:dyDescent="0.15">
      <c r="E407" s="3" t="str">
        <f ca="1">IFERROR(__xludf.DUMMYFUNCTION("""COMPUTED_VALUE"""),"")</f>
        <v/>
      </c>
    </row>
    <row r="408" spans="5:5" ht="13" x14ac:dyDescent="0.15">
      <c r="E408" s="3" t="str">
        <f ca="1">IFERROR(__xludf.DUMMYFUNCTION("""COMPUTED_VALUE"""),"")</f>
        <v/>
      </c>
    </row>
    <row r="409" spans="5:5" ht="13" x14ac:dyDescent="0.15">
      <c r="E409" s="3" t="str">
        <f ca="1">IFERROR(__xludf.DUMMYFUNCTION("""COMPUTED_VALUE"""),"")</f>
        <v/>
      </c>
    </row>
    <row r="410" spans="5:5" ht="13" x14ac:dyDescent="0.15">
      <c r="E410" s="3" t="str">
        <f ca="1">IFERROR(__xludf.DUMMYFUNCTION("""COMPUTED_VALUE"""),"")</f>
        <v/>
      </c>
    </row>
    <row r="411" spans="5:5" ht="13" x14ac:dyDescent="0.15">
      <c r="E411" s="3" t="str">
        <f ca="1">IFERROR(__xludf.DUMMYFUNCTION("""COMPUTED_VALUE"""),"")</f>
        <v/>
      </c>
    </row>
    <row r="412" spans="5:5" ht="13" x14ac:dyDescent="0.15">
      <c r="E412" s="3" t="str">
        <f ca="1">IFERROR(__xludf.DUMMYFUNCTION("""COMPUTED_VALUE"""),"")</f>
        <v/>
      </c>
    </row>
    <row r="413" spans="5:5" ht="13" x14ac:dyDescent="0.15">
      <c r="E413" s="3" t="str">
        <f ca="1">IFERROR(__xludf.DUMMYFUNCTION("""COMPUTED_VALUE"""),"")</f>
        <v/>
      </c>
    </row>
    <row r="414" spans="5:5" ht="13" x14ac:dyDescent="0.15">
      <c r="E414" s="3" t="str">
        <f ca="1">IFERROR(__xludf.DUMMYFUNCTION("""COMPUTED_VALUE"""),"")</f>
        <v/>
      </c>
    </row>
    <row r="415" spans="5:5" ht="13" x14ac:dyDescent="0.15">
      <c r="E415" s="3" t="str">
        <f ca="1">IFERROR(__xludf.DUMMYFUNCTION("""COMPUTED_VALUE"""),"")</f>
        <v/>
      </c>
    </row>
    <row r="416" spans="5:5" ht="13" x14ac:dyDescent="0.15">
      <c r="E416" s="3" t="str">
        <f ca="1">IFERROR(__xludf.DUMMYFUNCTION("""COMPUTED_VALUE"""),"")</f>
        <v/>
      </c>
    </row>
    <row r="417" spans="5:5" ht="13" x14ac:dyDescent="0.15">
      <c r="E417" s="3" t="str">
        <f ca="1">IFERROR(__xludf.DUMMYFUNCTION("""COMPUTED_VALUE"""),"")</f>
        <v/>
      </c>
    </row>
    <row r="418" spans="5:5" ht="13" x14ac:dyDescent="0.15">
      <c r="E418" s="3" t="str">
        <f ca="1">IFERROR(__xludf.DUMMYFUNCTION("""COMPUTED_VALUE"""),"")</f>
        <v/>
      </c>
    </row>
    <row r="419" spans="5:5" ht="13" x14ac:dyDescent="0.15">
      <c r="E419" s="3" t="str">
        <f ca="1">IFERROR(__xludf.DUMMYFUNCTION("""COMPUTED_VALUE"""),"")</f>
        <v/>
      </c>
    </row>
    <row r="420" spans="5:5" ht="13" x14ac:dyDescent="0.15">
      <c r="E420" s="3" t="str">
        <f ca="1">IFERROR(__xludf.DUMMYFUNCTION("""COMPUTED_VALUE"""),"")</f>
        <v/>
      </c>
    </row>
    <row r="421" spans="5:5" ht="13" x14ac:dyDescent="0.15">
      <c r="E421" s="3" t="str">
        <f ca="1">IFERROR(__xludf.DUMMYFUNCTION("""COMPUTED_VALUE"""),"")</f>
        <v/>
      </c>
    </row>
    <row r="422" spans="5:5" ht="13" x14ac:dyDescent="0.15">
      <c r="E422" s="3" t="str">
        <f ca="1">IFERROR(__xludf.DUMMYFUNCTION("""COMPUTED_VALUE"""),"")</f>
        <v/>
      </c>
    </row>
    <row r="423" spans="5:5" ht="13" x14ac:dyDescent="0.15">
      <c r="E423" s="3" t="str">
        <f ca="1">IFERROR(__xludf.DUMMYFUNCTION("""COMPUTED_VALUE"""),"")</f>
        <v/>
      </c>
    </row>
    <row r="424" spans="5:5" ht="13" x14ac:dyDescent="0.15">
      <c r="E424" s="3" t="str">
        <f ca="1">IFERROR(__xludf.DUMMYFUNCTION("""COMPUTED_VALUE"""),"")</f>
        <v/>
      </c>
    </row>
    <row r="425" spans="5:5" ht="13" x14ac:dyDescent="0.15">
      <c r="E425" s="3" t="str">
        <f ca="1">IFERROR(__xludf.DUMMYFUNCTION("""COMPUTED_VALUE"""),"")</f>
        <v/>
      </c>
    </row>
    <row r="426" spans="5:5" ht="13" x14ac:dyDescent="0.15">
      <c r="E426" s="3" t="str">
        <f ca="1">IFERROR(__xludf.DUMMYFUNCTION("""COMPUTED_VALUE"""),"")</f>
        <v/>
      </c>
    </row>
    <row r="427" spans="5:5" ht="13" x14ac:dyDescent="0.15">
      <c r="E427" s="3" t="str">
        <f ca="1">IFERROR(__xludf.DUMMYFUNCTION("""COMPUTED_VALUE"""),"")</f>
        <v/>
      </c>
    </row>
    <row r="428" spans="5:5" ht="13" x14ac:dyDescent="0.15">
      <c r="E428" s="3" t="str">
        <f ca="1">IFERROR(__xludf.DUMMYFUNCTION("""COMPUTED_VALUE"""),"")</f>
        <v/>
      </c>
    </row>
    <row r="429" spans="5:5" ht="13" x14ac:dyDescent="0.15">
      <c r="E429" s="3" t="str">
        <f ca="1">IFERROR(__xludf.DUMMYFUNCTION("""COMPUTED_VALUE"""),"")</f>
        <v/>
      </c>
    </row>
    <row r="430" spans="5:5" ht="13" x14ac:dyDescent="0.15">
      <c r="E430" s="3" t="str">
        <f ca="1">IFERROR(__xludf.DUMMYFUNCTION("""COMPUTED_VALUE"""),"")</f>
        <v/>
      </c>
    </row>
    <row r="431" spans="5:5" ht="13" x14ac:dyDescent="0.15">
      <c r="E431" s="3" t="str">
        <f ca="1">IFERROR(__xludf.DUMMYFUNCTION("""COMPUTED_VALUE"""),"")</f>
        <v/>
      </c>
    </row>
    <row r="432" spans="5:5" ht="13" x14ac:dyDescent="0.15">
      <c r="E432" s="3" t="str">
        <f ca="1">IFERROR(__xludf.DUMMYFUNCTION("""COMPUTED_VALUE"""),"")</f>
        <v/>
      </c>
    </row>
    <row r="433" spans="5:5" ht="13" x14ac:dyDescent="0.15">
      <c r="E433" s="3" t="str">
        <f ca="1">IFERROR(__xludf.DUMMYFUNCTION("""COMPUTED_VALUE"""),"")</f>
        <v/>
      </c>
    </row>
    <row r="434" spans="5:5" ht="13" x14ac:dyDescent="0.15">
      <c r="E434" s="3" t="str">
        <f ca="1">IFERROR(__xludf.DUMMYFUNCTION("""COMPUTED_VALUE"""),"")</f>
        <v/>
      </c>
    </row>
    <row r="435" spans="5:5" ht="13" x14ac:dyDescent="0.15">
      <c r="E435" s="3" t="str">
        <f ca="1">IFERROR(__xludf.DUMMYFUNCTION("""COMPUTED_VALUE"""),"")</f>
        <v/>
      </c>
    </row>
    <row r="436" spans="5:5" ht="13" x14ac:dyDescent="0.15">
      <c r="E436" s="3" t="str">
        <f ca="1">IFERROR(__xludf.DUMMYFUNCTION("""COMPUTED_VALUE"""),"")</f>
        <v/>
      </c>
    </row>
    <row r="437" spans="5:5" ht="13" x14ac:dyDescent="0.15">
      <c r="E437" s="3" t="str">
        <f ca="1">IFERROR(__xludf.DUMMYFUNCTION("""COMPUTED_VALUE"""),"")</f>
        <v/>
      </c>
    </row>
    <row r="438" spans="5:5" ht="13" x14ac:dyDescent="0.15">
      <c r="E438" s="3" t="str">
        <f ca="1">IFERROR(__xludf.DUMMYFUNCTION("""COMPUTED_VALUE"""),"")</f>
        <v/>
      </c>
    </row>
    <row r="439" spans="5:5" ht="13" x14ac:dyDescent="0.15">
      <c r="E439" s="3" t="str">
        <f ca="1">IFERROR(__xludf.DUMMYFUNCTION("""COMPUTED_VALUE"""),"")</f>
        <v/>
      </c>
    </row>
    <row r="440" spans="5:5" ht="13" x14ac:dyDescent="0.15">
      <c r="E440" s="3" t="str">
        <f ca="1">IFERROR(__xludf.DUMMYFUNCTION("""COMPUTED_VALUE"""),"")</f>
        <v/>
      </c>
    </row>
    <row r="441" spans="5:5" ht="13" x14ac:dyDescent="0.15">
      <c r="E441" s="3" t="str">
        <f ca="1">IFERROR(__xludf.DUMMYFUNCTION("""COMPUTED_VALUE"""),"")</f>
        <v/>
      </c>
    </row>
    <row r="442" spans="5:5" ht="13" x14ac:dyDescent="0.15">
      <c r="E442" s="3" t="str">
        <f ca="1">IFERROR(__xludf.DUMMYFUNCTION("""COMPUTED_VALUE"""),"")</f>
        <v/>
      </c>
    </row>
    <row r="443" spans="5:5" ht="13" x14ac:dyDescent="0.15">
      <c r="E443" s="3" t="str">
        <f ca="1">IFERROR(__xludf.DUMMYFUNCTION("""COMPUTED_VALUE"""),"")</f>
        <v/>
      </c>
    </row>
    <row r="444" spans="5:5" ht="13" x14ac:dyDescent="0.15">
      <c r="E444" s="3" t="str">
        <f ca="1">IFERROR(__xludf.DUMMYFUNCTION("""COMPUTED_VALUE"""),"")</f>
        <v/>
      </c>
    </row>
    <row r="445" spans="5:5" ht="13" x14ac:dyDescent="0.15">
      <c r="E445" s="3" t="str">
        <f ca="1">IFERROR(__xludf.DUMMYFUNCTION("""COMPUTED_VALUE"""),"")</f>
        <v/>
      </c>
    </row>
    <row r="446" spans="5:5" ht="13" x14ac:dyDescent="0.15">
      <c r="E446" s="3" t="str">
        <f ca="1">IFERROR(__xludf.DUMMYFUNCTION("""COMPUTED_VALUE"""),"")</f>
        <v/>
      </c>
    </row>
    <row r="447" spans="5:5" ht="13" x14ac:dyDescent="0.15">
      <c r="E447" s="3" t="str">
        <f ca="1">IFERROR(__xludf.DUMMYFUNCTION("""COMPUTED_VALUE"""),"")</f>
        <v/>
      </c>
    </row>
    <row r="448" spans="5:5" ht="13" x14ac:dyDescent="0.15">
      <c r="E448" s="3" t="str">
        <f ca="1">IFERROR(__xludf.DUMMYFUNCTION("""COMPUTED_VALUE"""),"")</f>
        <v/>
      </c>
    </row>
    <row r="449" spans="5:5" ht="13" x14ac:dyDescent="0.15">
      <c r="E449" s="3" t="str">
        <f ca="1">IFERROR(__xludf.DUMMYFUNCTION("""COMPUTED_VALUE"""),"")</f>
        <v/>
      </c>
    </row>
    <row r="450" spans="5:5" ht="13" x14ac:dyDescent="0.15">
      <c r="E450" s="3" t="str">
        <f ca="1">IFERROR(__xludf.DUMMYFUNCTION("""COMPUTED_VALUE"""),"")</f>
        <v/>
      </c>
    </row>
    <row r="451" spans="5:5" ht="13" x14ac:dyDescent="0.15">
      <c r="E451" s="3" t="str">
        <f ca="1">IFERROR(__xludf.DUMMYFUNCTION("""COMPUTED_VALUE"""),"")</f>
        <v/>
      </c>
    </row>
    <row r="452" spans="5:5" ht="13" x14ac:dyDescent="0.15">
      <c r="E452" s="3" t="str">
        <f ca="1">IFERROR(__xludf.DUMMYFUNCTION("""COMPUTED_VALUE"""),"")</f>
        <v/>
      </c>
    </row>
    <row r="453" spans="5:5" ht="13" x14ac:dyDescent="0.15">
      <c r="E453" s="3" t="str">
        <f ca="1">IFERROR(__xludf.DUMMYFUNCTION("""COMPUTED_VALUE"""),"")</f>
        <v/>
      </c>
    </row>
    <row r="454" spans="5:5" ht="13" x14ac:dyDescent="0.15">
      <c r="E454" s="3" t="str">
        <f ca="1">IFERROR(__xludf.DUMMYFUNCTION("""COMPUTED_VALUE"""),"")</f>
        <v/>
      </c>
    </row>
    <row r="455" spans="5:5" ht="13" x14ac:dyDescent="0.15">
      <c r="E455" s="3" t="str">
        <f ca="1">IFERROR(__xludf.DUMMYFUNCTION("""COMPUTED_VALUE"""),"")</f>
        <v/>
      </c>
    </row>
    <row r="456" spans="5:5" ht="13" x14ac:dyDescent="0.15">
      <c r="E456" s="3" t="str">
        <f ca="1">IFERROR(__xludf.DUMMYFUNCTION("""COMPUTED_VALUE"""),"")</f>
        <v/>
      </c>
    </row>
    <row r="457" spans="5:5" ht="13" x14ac:dyDescent="0.15">
      <c r="E457" s="3" t="str">
        <f ca="1">IFERROR(__xludf.DUMMYFUNCTION("""COMPUTED_VALUE"""),"")</f>
        <v/>
      </c>
    </row>
    <row r="458" spans="5:5" ht="13" x14ac:dyDescent="0.15">
      <c r="E458" s="3" t="str">
        <f ca="1">IFERROR(__xludf.DUMMYFUNCTION("""COMPUTED_VALUE"""),"")</f>
        <v/>
      </c>
    </row>
    <row r="459" spans="5:5" ht="13" x14ac:dyDescent="0.15">
      <c r="E459" s="3" t="str">
        <f ca="1">IFERROR(__xludf.DUMMYFUNCTION("""COMPUTED_VALUE"""),"")</f>
        <v/>
      </c>
    </row>
    <row r="460" spans="5:5" ht="13" x14ac:dyDescent="0.15">
      <c r="E460" s="3" t="str">
        <f ca="1">IFERROR(__xludf.DUMMYFUNCTION("""COMPUTED_VALUE"""),"")</f>
        <v/>
      </c>
    </row>
    <row r="461" spans="5:5" ht="13" x14ac:dyDescent="0.15">
      <c r="E461" s="3" t="str">
        <f ca="1">IFERROR(__xludf.DUMMYFUNCTION("""COMPUTED_VALUE"""),"")</f>
        <v/>
      </c>
    </row>
    <row r="462" spans="5:5" ht="13" x14ac:dyDescent="0.15">
      <c r="E462" s="3" t="str">
        <f ca="1">IFERROR(__xludf.DUMMYFUNCTION("""COMPUTED_VALUE"""),"")</f>
        <v/>
      </c>
    </row>
    <row r="463" spans="5:5" ht="13" x14ac:dyDescent="0.15">
      <c r="E463" s="3" t="str">
        <f ca="1">IFERROR(__xludf.DUMMYFUNCTION("""COMPUTED_VALUE"""),"")</f>
        <v/>
      </c>
    </row>
    <row r="464" spans="5:5" ht="13" x14ac:dyDescent="0.15">
      <c r="E464" s="3" t="str">
        <f ca="1">IFERROR(__xludf.DUMMYFUNCTION("""COMPUTED_VALUE"""),"")</f>
        <v/>
      </c>
    </row>
    <row r="465" spans="5:5" ht="13" x14ac:dyDescent="0.15">
      <c r="E465" s="3" t="str">
        <f ca="1">IFERROR(__xludf.DUMMYFUNCTION("""COMPUTED_VALUE"""),"")</f>
        <v/>
      </c>
    </row>
    <row r="466" spans="5:5" ht="13" x14ac:dyDescent="0.15">
      <c r="E466" s="3" t="str">
        <f ca="1">IFERROR(__xludf.DUMMYFUNCTION("""COMPUTED_VALUE"""),"")</f>
        <v/>
      </c>
    </row>
    <row r="467" spans="5:5" ht="13" x14ac:dyDescent="0.15">
      <c r="E467" s="3" t="str">
        <f ca="1">IFERROR(__xludf.DUMMYFUNCTION("""COMPUTED_VALUE"""),"")</f>
        <v/>
      </c>
    </row>
    <row r="468" spans="5:5" ht="13" x14ac:dyDescent="0.15">
      <c r="E468" s="3" t="str">
        <f ca="1">IFERROR(__xludf.DUMMYFUNCTION("""COMPUTED_VALUE"""),"")</f>
        <v/>
      </c>
    </row>
    <row r="469" spans="5:5" ht="13" x14ac:dyDescent="0.15">
      <c r="E469" s="3" t="str">
        <f ca="1">IFERROR(__xludf.DUMMYFUNCTION("""COMPUTED_VALUE"""),"")</f>
        <v/>
      </c>
    </row>
    <row r="470" spans="5:5" ht="13" x14ac:dyDescent="0.15">
      <c r="E470" s="3" t="str">
        <f ca="1">IFERROR(__xludf.DUMMYFUNCTION("""COMPUTED_VALUE"""),"")</f>
        <v/>
      </c>
    </row>
    <row r="471" spans="5:5" ht="13" x14ac:dyDescent="0.15">
      <c r="E471" s="3" t="str">
        <f ca="1">IFERROR(__xludf.DUMMYFUNCTION("""COMPUTED_VALUE"""),"")</f>
        <v/>
      </c>
    </row>
    <row r="472" spans="5:5" ht="13" x14ac:dyDescent="0.15">
      <c r="E472" s="3" t="str">
        <f ca="1">IFERROR(__xludf.DUMMYFUNCTION("""COMPUTED_VALUE"""),"")</f>
        <v/>
      </c>
    </row>
    <row r="473" spans="5:5" ht="13" x14ac:dyDescent="0.15">
      <c r="E473" s="3" t="str">
        <f ca="1">IFERROR(__xludf.DUMMYFUNCTION("""COMPUTED_VALUE"""),"")</f>
        <v/>
      </c>
    </row>
    <row r="474" spans="5:5" ht="13" x14ac:dyDescent="0.15">
      <c r="E474" s="3" t="str">
        <f ca="1">IFERROR(__xludf.DUMMYFUNCTION("""COMPUTED_VALUE"""),"")</f>
        <v/>
      </c>
    </row>
    <row r="475" spans="5:5" ht="13" x14ac:dyDescent="0.15">
      <c r="E475" s="3" t="str">
        <f ca="1">IFERROR(__xludf.DUMMYFUNCTION("""COMPUTED_VALUE"""),"")</f>
        <v/>
      </c>
    </row>
    <row r="476" spans="5:5" ht="13" x14ac:dyDescent="0.15">
      <c r="E476" s="3" t="str">
        <f ca="1">IFERROR(__xludf.DUMMYFUNCTION("""COMPUTED_VALUE"""),"")</f>
        <v/>
      </c>
    </row>
    <row r="477" spans="5:5" ht="13" x14ac:dyDescent="0.15">
      <c r="E477" s="3" t="str">
        <f ca="1">IFERROR(__xludf.DUMMYFUNCTION("""COMPUTED_VALUE"""),"")</f>
        <v/>
      </c>
    </row>
    <row r="478" spans="5:5" ht="13" x14ac:dyDescent="0.15">
      <c r="E478" s="3" t="str">
        <f ca="1">IFERROR(__xludf.DUMMYFUNCTION("""COMPUTED_VALUE"""),"")</f>
        <v/>
      </c>
    </row>
    <row r="479" spans="5:5" ht="13" x14ac:dyDescent="0.15">
      <c r="E479" s="3" t="str">
        <f ca="1">IFERROR(__xludf.DUMMYFUNCTION("""COMPUTED_VALUE"""),"")</f>
        <v/>
      </c>
    </row>
    <row r="480" spans="5:5" ht="13" x14ac:dyDescent="0.15">
      <c r="E480" s="3" t="str">
        <f ca="1">IFERROR(__xludf.DUMMYFUNCTION("""COMPUTED_VALUE"""),"")</f>
        <v/>
      </c>
    </row>
    <row r="481" spans="5:5" ht="13" x14ac:dyDescent="0.15">
      <c r="E481" s="3" t="str">
        <f ca="1">IFERROR(__xludf.DUMMYFUNCTION("""COMPUTED_VALUE"""),"")</f>
        <v/>
      </c>
    </row>
    <row r="482" spans="5:5" ht="13" x14ac:dyDescent="0.15">
      <c r="E482" s="3" t="str">
        <f ca="1">IFERROR(__xludf.DUMMYFUNCTION("""COMPUTED_VALUE"""),"")</f>
        <v/>
      </c>
    </row>
    <row r="483" spans="5:5" ht="13" x14ac:dyDescent="0.15">
      <c r="E483" s="3" t="str">
        <f ca="1">IFERROR(__xludf.DUMMYFUNCTION("""COMPUTED_VALUE"""),"")</f>
        <v/>
      </c>
    </row>
    <row r="484" spans="5:5" ht="13" x14ac:dyDescent="0.15">
      <c r="E484" s="3" t="str">
        <f ca="1">IFERROR(__xludf.DUMMYFUNCTION("""COMPUTED_VALUE"""),"")</f>
        <v/>
      </c>
    </row>
    <row r="485" spans="5:5" ht="13" x14ac:dyDescent="0.15">
      <c r="E485" s="3" t="str">
        <f ca="1">IFERROR(__xludf.DUMMYFUNCTION("""COMPUTED_VALUE"""),"")</f>
        <v/>
      </c>
    </row>
    <row r="486" spans="5:5" ht="13" x14ac:dyDescent="0.15">
      <c r="E486" s="3" t="str">
        <f ca="1">IFERROR(__xludf.DUMMYFUNCTION("""COMPUTED_VALUE"""),"")</f>
        <v/>
      </c>
    </row>
    <row r="487" spans="5:5" ht="13" x14ac:dyDescent="0.15">
      <c r="E487" s="3" t="str">
        <f ca="1">IFERROR(__xludf.DUMMYFUNCTION("""COMPUTED_VALUE"""),"")</f>
        <v/>
      </c>
    </row>
    <row r="488" spans="5:5" ht="13" x14ac:dyDescent="0.15">
      <c r="E488" s="3" t="str">
        <f ca="1">IFERROR(__xludf.DUMMYFUNCTION("""COMPUTED_VALUE"""),"")</f>
        <v/>
      </c>
    </row>
    <row r="489" spans="5:5" ht="13" x14ac:dyDescent="0.15">
      <c r="E489" s="3" t="str">
        <f ca="1">IFERROR(__xludf.DUMMYFUNCTION("""COMPUTED_VALUE"""),"")</f>
        <v/>
      </c>
    </row>
    <row r="490" spans="5:5" ht="13" x14ac:dyDescent="0.15">
      <c r="E490" s="3" t="str">
        <f ca="1">IFERROR(__xludf.DUMMYFUNCTION("""COMPUTED_VALUE"""),"")</f>
        <v/>
      </c>
    </row>
    <row r="491" spans="5:5" ht="13" x14ac:dyDescent="0.15">
      <c r="E491" s="3" t="str">
        <f ca="1">IFERROR(__xludf.DUMMYFUNCTION("""COMPUTED_VALUE"""),"")</f>
        <v/>
      </c>
    </row>
    <row r="492" spans="5:5" ht="13" x14ac:dyDescent="0.15">
      <c r="E492" s="3" t="str">
        <f ca="1">IFERROR(__xludf.DUMMYFUNCTION("""COMPUTED_VALUE"""),"")</f>
        <v/>
      </c>
    </row>
    <row r="493" spans="5:5" ht="13" x14ac:dyDescent="0.15">
      <c r="E493" s="3" t="str">
        <f ca="1">IFERROR(__xludf.DUMMYFUNCTION("""COMPUTED_VALUE"""),"")</f>
        <v/>
      </c>
    </row>
    <row r="494" spans="5:5" ht="13" x14ac:dyDescent="0.15">
      <c r="E494" s="3" t="str">
        <f ca="1">IFERROR(__xludf.DUMMYFUNCTION("""COMPUTED_VALUE"""),"")</f>
        <v/>
      </c>
    </row>
    <row r="495" spans="5:5" ht="13" x14ac:dyDescent="0.15">
      <c r="E495" s="3" t="str">
        <f ca="1">IFERROR(__xludf.DUMMYFUNCTION("""COMPUTED_VALUE"""),"")</f>
        <v/>
      </c>
    </row>
    <row r="496" spans="5:5" ht="13" x14ac:dyDescent="0.15">
      <c r="E496" s="3" t="str">
        <f ca="1">IFERROR(__xludf.DUMMYFUNCTION("""COMPUTED_VALUE"""),"")</f>
        <v/>
      </c>
    </row>
    <row r="497" spans="5:5" ht="13" x14ac:dyDescent="0.15">
      <c r="E497" s="3" t="str">
        <f ca="1">IFERROR(__xludf.DUMMYFUNCTION("""COMPUTED_VALUE"""),"")</f>
        <v/>
      </c>
    </row>
    <row r="498" spans="5:5" ht="13" x14ac:dyDescent="0.15">
      <c r="E498" s="3" t="str">
        <f ca="1">IFERROR(__xludf.DUMMYFUNCTION("""COMPUTED_VALUE"""),"")</f>
        <v/>
      </c>
    </row>
    <row r="499" spans="5:5" ht="13" x14ac:dyDescent="0.15">
      <c r="E499" s="3" t="str">
        <f ca="1">IFERROR(__xludf.DUMMYFUNCTION("""COMPUTED_VALUE"""),"")</f>
        <v/>
      </c>
    </row>
    <row r="500" spans="5:5" ht="13" x14ac:dyDescent="0.15">
      <c r="E500" s="3" t="str">
        <f ca="1">IFERROR(__xludf.DUMMYFUNCTION("""COMPUTED_VALUE"""),"")</f>
        <v/>
      </c>
    </row>
    <row r="501" spans="5:5" ht="13" x14ac:dyDescent="0.15">
      <c r="E501" s="3" t="str">
        <f ca="1">IFERROR(__xludf.DUMMYFUNCTION("""COMPUTED_VALUE"""),"")</f>
        <v/>
      </c>
    </row>
    <row r="502" spans="5:5" ht="13" x14ac:dyDescent="0.15">
      <c r="E502" s="3" t="str">
        <f ca="1">IFERROR(__xludf.DUMMYFUNCTION("""COMPUTED_VALUE"""),"")</f>
        <v/>
      </c>
    </row>
    <row r="503" spans="5:5" ht="13" x14ac:dyDescent="0.15">
      <c r="E503" s="3" t="str">
        <f ca="1">IFERROR(__xludf.DUMMYFUNCTION("""COMPUTED_VALUE"""),"")</f>
        <v/>
      </c>
    </row>
    <row r="504" spans="5:5" ht="13" x14ac:dyDescent="0.15">
      <c r="E504" s="3" t="str">
        <f ca="1">IFERROR(__xludf.DUMMYFUNCTION("""COMPUTED_VALUE"""),"")</f>
        <v/>
      </c>
    </row>
    <row r="505" spans="5:5" ht="13" x14ac:dyDescent="0.15">
      <c r="E505" s="3" t="str">
        <f ca="1">IFERROR(__xludf.DUMMYFUNCTION("""COMPUTED_VALUE"""),"")</f>
        <v/>
      </c>
    </row>
    <row r="506" spans="5:5" ht="13" x14ac:dyDescent="0.15">
      <c r="E506" s="3" t="str">
        <f ca="1">IFERROR(__xludf.DUMMYFUNCTION("""COMPUTED_VALUE"""),"")</f>
        <v/>
      </c>
    </row>
    <row r="507" spans="5:5" ht="13" x14ac:dyDescent="0.15">
      <c r="E507" s="3" t="str">
        <f ca="1">IFERROR(__xludf.DUMMYFUNCTION("""COMPUTED_VALUE"""),"")</f>
        <v/>
      </c>
    </row>
    <row r="508" spans="5:5" ht="13" x14ac:dyDescent="0.15">
      <c r="E508" s="3" t="str">
        <f ca="1">IFERROR(__xludf.DUMMYFUNCTION("""COMPUTED_VALUE"""),"")</f>
        <v/>
      </c>
    </row>
    <row r="509" spans="5:5" ht="13" x14ac:dyDescent="0.15">
      <c r="E509" s="3" t="str">
        <f ca="1">IFERROR(__xludf.DUMMYFUNCTION("""COMPUTED_VALUE"""),"")</f>
        <v/>
      </c>
    </row>
    <row r="510" spans="5:5" ht="13" x14ac:dyDescent="0.15">
      <c r="E510" s="3" t="str">
        <f ca="1">IFERROR(__xludf.DUMMYFUNCTION("""COMPUTED_VALUE"""),"")</f>
        <v/>
      </c>
    </row>
    <row r="511" spans="5:5" ht="13" x14ac:dyDescent="0.15">
      <c r="E511" s="3" t="str">
        <f ca="1">IFERROR(__xludf.DUMMYFUNCTION("""COMPUTED_VALUE"""),"")</f>
        <v/>
      </c>
    </row>
    <row r="512" spans="5:5" ht="13" x14ac:dyDescent="0.15">
      <c r="E512" s="3" t="str">
        <f ca="1">IFERROR(__xludf.DUMMYFUNCTION("""COMPUTED_VALUE"""),"")</f>
        <v/>
      </c>
    </row>
    <row r="513" spans="5:5" ht="13" x14ac:dyDescent="0.15">
      <c r="E513" s="3" t="str">
        <f ca="1">IFERROR(__xludf.DUMMYFUNCTION("""COMPUTED_VALUE"""),"")</f>
        <v/>
      </c>
    </row>
    <row r="514" spans="5:5" ht="13" x14ac:dyDescent="0.15">
      <c r="E514" s="3" t="str">
        <f ca="1">IFERROR(__xludf.DUMMYFUNCTION("""COMPUTED_VALUE"""),"")</f>
        <v/>
      </c>
    </row>
    <row r="515" spans="5:5" ht="13" x14ac:dyDescent="0.15">
      <c r="E515" s="3" t="str">
        <f ca="1">IFERROR(__xludf.DUMMYFUNCTION("""COMPUTED_VALUE"""),"")</f>
        <v/>
      </c>
    </row>
    <row r="516" spans="5:5" ht="13" x14ac:dyDescent="0.15">
      <c r="E516" s="3" t="str">
        <f ca="1">IFERROR(__xludf.DUMMYFUNCTION("""COMPUTED_VALUE"""),"")</f>
        <v/>
      </c>
    </row>
    <row r="517" spans="5:5" ht="13" x14ac:dyDescent="0.15">
      <c r="E517" s="3" t="str">
        <f ca="1">IFERROR(__xludf.DUMMYFUNCTION("""COMPUTED_VALUE"""),"")</f>
        <v/>
      </c>
    </row>
    <row r="518" spans="5:5" ht="13" x14ac:dyDescent="0.15">
      <c r="E518" s="3" t="str">
        <f ca="1">IFERROR(__xludf.DUMMYFUNCTION("""COMPUTED_VALUE"""),"")</f>
        <v/>
      </c>
    </row>
    <row r="519" spans="5:5" ht="13" x14ac:dyDescent="0.15">
      <c r="E519" s="3" t="str">
        <f ca="1">IFERROR(__xludf.DUMMYFUNCTION("""COMPUTED_VALUE"""),"")</f>
        <v/>
      </c>
    </row>
    <row r="520" spans="5:5" ht="13" x14ac:dyDescent="0.15">
      <c r="E520" s="3" t="str">
        <f ca="1">IFERROR(__xludf.DUMMYFUNCTION("""COMPUTED_VALUE"""),"")</f>
        <v/>
      </c>
    </row>
    <row r="521" spans="5:5" ht="13" x14ac:dyDescent="0.15">
      <c r="E521" s="3" t="str">
        <f ca="1">IFERROR(__xludf.DUMMYFUNCTION("""COMPUTED_VALUE"""),"")</f>
        <v/>
      </c>
    </row>
    <row r="522" spans="5:5" ht="13" x14ac:dyDescent="0.15">
      <c r="E522" s="3" t="str">
        <f ca="1">IFERROR(__xludf.DUMMYFUNCTION("""COMPUTED_VALUE"""),"")</f>
        <v/>
      </c>
    </row>
    <row r="523" spans="5:5" ht="13" x14ac:dyDescent="0.15">
      <c r="E523" s="3" t="str">
        <f ca="1">IFERROR(__xludf.DUMMYFUNCTION("""COMPUTED_VALUE"""),"")</f>
        <v/>
      </c>
    </row>
    <row r="524" spans="5:5" ht="13" x14ac:dyDescent="0.15">
      <c r="E524" s="3" t="str">
        <f ca="1">IFERROR(__xludf.DUMMYFUNCTION("""COMPUTED_VALUE"""),"")</f>
        <v/>
      </c>
    </row>
    <row r="525" spans="5:5" ht="13" x14ac:dyDescent="0.15">
      <c r="E525" s="3" t="str">
        <f ca="1">IFERROR(__xludf.DUMMYFUNCTION("""COMPUTED_VALUE"""),"")</f>
        <v/>
      </c>
    </row>
    <row r="526" spans="5:5" ht="13" x14ac:dyDescent="0.15">
      <c r="E526" s="3" t="str">
        <f ca="1">IFERROR(__xludf.DUMMYFUNCTION("""COMPUTED_VALUE"""),"")</f>
        <v/>
      </c>
    </row>
    <row r="527" spans="5:5" ht="13" x14ac:dyDescent="0.15">
      <c r="E527" s="3" t="str">
        <f ca="1">IFERROR(__xludf.DUMMYFUNCTION("""COMPUTED_VALUE"""),"")</f>
        <v/>
      </c>
    </row>
    <row r="528" spans="5:5" ht="13" x14ac:dyDescent="0.15">
      <c r="E528" s="3" t="str">
        <f ca="1">IFERROR(__xludf.DUMMYFUNCTION("""COMPUTED_VALUE"""),"")</f>
        <v/>
      </c>
    </row>
    <row r="529" spans="5:5" ht="13" x14ac:dyDescent="0.15">
      <c r="E529" s="3" t="str">
        <f ca="1">IFERROR(__xludf.DUMMYFUNCTION("""COMPUTED_VALUE"""),"")</f>
        <v/>
      </c>
    </row>
    <row r="530" spans="5:5" ht="13" x14ac:dyDescent="0.15">
      <c r="E530" s="3" t="str">
        <f ca="1">IFERROR(__xludf.DUMMYFUNCTION("""COMPUTED_VALUE"""),"")</f>
        <v/>
      </c>
    </row>
    <row r="531" spans="5:5" ht="13" x14ac:dyDescent="0.15">
      <c r="E531" s="3" t="str">
        <f ca="1">IFERROR(__xludf.DUMMYFUNCTION("""COMPUTED_VALUE"""),"")</f>
        <v/>
      </c>
    </row>
    <row r="532" spans="5:5" ht="13" x14ac:dyDescent="0.15">
      <c r="E532" s="3" t="str">
        <f ca="1">IFERROR(__xludf.DUMMYFUNCTION("""COMPUTED_VALUE"""),"")</f>
        <v/>
      </c>
    </row>
    <row r="533" spans="5:5" ht="13" x14ac:dyDescent="0.15">
      <c r="E533" s="3" t="str">
        <f ca="1">IFERROR(__xludf.DUMMYFUNCTION("""COMPUTED_VALUE"""),"")</f>
        <v/>
      </c>
    </row>
    <row r="534" spans="5:5" ht="13" x14ac:dyDescent="0.15">
      <c r="E534" s="3" t="str">
        <f ca="1">IFERROR(__xludf.DUMMYFUNCTION("""COMPUTED_VALUE"""),"")</f>
        <v/>
      </c>
    </row>
    <row r="535" spans="5:5" ht="13" x14ac:dyDescent="0.15">
      <c r="E535" s="3" t="str">
        <f ca="1">IFERROR(__xludf.DUMMYFUNCTION("""COMPUTED_VALUE"""),"")</f>
        <v/>
      </c>
    </row>
    <row r="536" spans="5:5" ht="13" x14ac:dyDescent="0.15">
      <c r="E536" s="3" t="str">
        <f ca="1">IFERROR(__xludf.DUMMYFUNCTION("""COMPUTED_VALUE"""),"")</f>
        <v/>
      </c>
    </row>
    <row r="537" spans="5:5" ht="13" x14ac:dyDescent="0.15">
      <c r="E537" s="3" t="str">
        <f ca="1">IFERROR(__xludf.DUMMYFUNCTION("""COMPUTED_VALUE"""),"")</f>
        <v/>
      </c>
    </row>
    <row r="538" spans="5:5" ht="13" x14ac:dyDescent="0.15">
      <c r="E538" s="3" t="str">
        <f ca="1">IFERROR(__xludf.DUMMYFUNCTION("""COMPUTED_VALUE"""),"")</f>
        <v/>
      </c>
    </row>
    <row r="539" spans="5:5" ht="13" x14ac:dyDescent="0.15">
      <c r="E539" s="3" t="str">
        <f ca="1">IFERROR(__xludf.DUMMYFUNCTION("""COMPUTED_VALUE"""),"")</f>
        <v/>
      </c>
    </row>
    <row r="540" spans="5:5" ht="13" x14ac:dyDescent="0.15">
      <c r="E540" s="3" t="str">
        <f ca="1">IFERROR(__xludf.DUMMYFUNCTION("""COMPUTED_VALUE"""),"")</f>
        <v/>
      </c>
    </row>
    <row r="541" spans="5:5" ht="13" x14ac:dyDescent="0.15">
      <c r="E541" s="3" t="str">
        <f ca="1">IFERROR(__xludf.DUMMYFUNCTION("""COMPUTED_VALUE"""),"")</f>
        <v/>
      </c>
    </row>
    <row r="542" spans="5:5" ht="13" x14ac:dyDescent="0.15">
      <c r="E542" s="3" t="str">
        <f ca="1">IFERROR(__xludf.DUMMYFUNCTION("""COMPUTED_VALUE"""),"")</f>
        <v/>
      </c>
    </row>
    <row r="543" spans="5:5" ht="13" x14ac:dyDescent="0.15">
      <c r="E543" s="3" t="str">
        <f ca="1">IFERROR(__xludf.DUMMYFUNCTION("""COMPUTED_VALUE"""),"")</f>
        <v/>
      </c>
    </row>
    <row r="544" spans="5:5" ht="13" x14ac:dyDescent="0.15">
      <c r="E544" s="3" t="str">
        <f ca="1">IFERROR(__xludf.DUMMYFUNCTION("""COMPUTED_VALUE"""),"")</f>
        <v/>
      </c>
    </row>
    <row r="545" spans="5:5" ht="13" x14ac:dyDescent="0.15">
      <c r="E545" s="3" t="str">
        <f ca="1">IFERROR(__xludf.DUMMYFUNCTION("""COMPUTED_VALUE"""),"")</f>
        <v/>
      </c>
    </row>
    <row r="546" spans="5:5" ht="13" x14ac:dyDescent="0.15">
      <c r="E546" s="3" t="str">
        <f ca="1">IFERROR(__xludf.DUMMYFUNCTION("""COMPUTED_VALUE"""),"")</f>
        <v/>
      </c>
    </row>
    <row r="547" spans="5:5" ht="13" x14ac:dyDescent="0.15">
      <c r="E547" s="3" t="str">
        <f ca="1">IFERROR(__xludf.DUMMYFUNCTION("""COMPUTED_VALUE"""),"")</f>
        <v/>
      </c>
    </row>
    <row r="548" spans="5:5" ht="13" x14ac:dyDescent="0.15">
      <c r="E548" s="3" t="str">
        <f ca="1">IFERROR(__xludf.DUMMYFUNCTION("""COMPUTED_VALUE"""),"")</f>
        <v/>
      </c>
    </row>
    <row r="549" spans="5:5" ht="13" x14ac:dyDescent="0.15">
      <c r="E549" s="3" t="str">
        <f ca="1">IFERROR(__xludf.DUMMYFUNCTION("""COMPUTED_VALUE"""),"")</f>
        <v/>
      </c>
    </row>
    <row r="550" spans="5:5" ht="13" x14ac:dyDescent="0.15">
      <c r="E550" s="3" t="str">
        <f ca="1">IFERROR(__xludf.DUMMYFUNCTION("""COMPUTED_VALUE"""),"")</f>
        <v/>
      </c>
    </row>
    <row r="551" spans="5:5" ht="13" x14ac:dyDescent="0.15">
      <c r="E551" s="3" t="str">
        <f ca="1">IFERROR(__xludf.DUMMYFUNCTION("""COMPUTED_VALUE"""),"")</f>
        <v/>
      </c>
    </row>
    <row r="552" spans="5:5" ht="13" x14ac:dyDescent="0.15">
      <c r="E552" s="3" t="str">
        <f ca="1">IFERROR(__xludf.DUMMYFUNCTION("""COMPUTED_VALUE"""),"")</f>
        <v/>
      </c>
    </row>
    <row r="553" spans="5:5" ht="13" x14ac:dyDescent="0.15">
      <c r="E553" s="3" t="str">
        <f ca="1">IFERROR(__xludf.DUMMYFUNCTION("""COMPUTED_VALUE"""),"")</f>
        <v/>
      </c>
    </row>
    <row r="554" spans="5:5" ht="13" x14ac:dyDescent="0.15">
      <c r="E554" s="3" t="str">
        <f ca="1">IFERROR(__xludf.DUMMYFUNCTION("""COMPUTED_VALUE"""),"")</f>
        <v/>
      </c>
    </row>
    <row r="555" spans="5:5" ht="13" x14ac:dyDescent="0.15">
      <c r="E555" s="3" t="str">
        <f ca="1">IFERROR(__xludf.DUMMYFUNCTION("""COMPUTED_VALUE"""),"")</f>
        <v/>
      </c>
    </row>
    <row r="556" spans="5:5" ht="13" x14ac:dyDescent="0.15">
      <c r="E556" s="3" t="str">
        <f ca="1">IFERROR(__xludf.DUMMYFUNCTION("""COMPUTED_VALUE"""),"")</f>
        <v/>
      </c>
    </row>
    <row r="557" spans="5:5" ht="13" x14ac:dyDescent="0.15">
      <c r="E557" s="3" t="str">
        <f ca="1">IFERROR(__xludf.DUMMYFUNCTION("""COMPUTED_VALUE"""),"")</f>
        <v/>
      </c>
    </row>
    <row r="558" spans="5:5" ht="13" x14ac:dyDescent="0.15">
      <c r="E558" s="3" t="str">
        <f ca="1">IFERROR(__xludf.DUMMYFUNCTION("""COMPUTED_VALUE"""),"")</f>
        <v/>
      </c>
    </row>
    <row r="559" spans="5:5" ht="13" x14ac:dyDescent="0.15">
      <c r="E559" s="3" t="str">
        <f ca="1">IFERROR(__xludf.DUMMYFUNCTION("""COMPUTED_VALUE"""),"")</f>
        <v/>
      </c>
    </row>
    <row r="560" spans="5:5" ht="13" x14ac:dyDescent="0.15">
      <c r="E560" s="3" t="str">
        <f ca="1">IFERROR(__xludf.DUMMYFUNCTION("""COMPUTED_VALUE"""),"")</f>
        <v/>
      </c>
    </row>
    <row r="561" spans="5:5" ht="13" x14ac:dyDescent="0.15">
      <c r="E561" s="3" t="str">
        <f ca="1">IFERROR(__xludf.DUMMYFUNCTION("""COMPUTED_VALUE"""),"")</f>
        <v/>
      </c>
    </row>
    <row r="562" spans="5:5" ht="13" x14ac:dyDescent="0.15">
      <c r="E562" s="3" t="str">
        <f ca="1">IFERROR(__xludf.DUMMYFUNCTION("""COMPUTED_VALUE"""),"")</f>
        <v/>
      </c>
    </row>
    <row r="563" spans="5:5" ht="13" x14ac:dyDescent="0.15">
      <c r="E563" s="3" t="str">
        <f ca="1">IFERROR(__xludf.DUMMYFUNCTION("""COMPUTED_VALUE"""),"")</f>
        <v/>
      </c>
    </row>
    <row r="564" spans="5:5" ht="13" x14ac:dyDescent="0.15">
      <c r="E564" s="3" t="str">
        <f ca="1">IFERROR(__xludf.DUMMYFUNCTION("""COMPUTED_VALUE"""),"")</f>
        <v/>
      </c>
    </row>
    <row r="565" spans="5:5" ht="13" x14ac:dyDescent="0.15">
      <c r="E565" s="3" t="str">
        <f ca="1">IFERROR(__xludf.DUMMYFUNCTION("""COMPUTED_VALUE"""),"")</f>
        <v/>
      </c>
    </row>
    <row r="566" spans="5:5" ht="13" x14ac:dyDescent="0.15">
      <c r="E566" s="3" t="str">
        <f ca="1">IFERROR(__xludf.DUMMYFUNCTION("""COMPUTED_VALUE"""),"")</f>
        <v/>
      </c>
    </row>
    <row r="567" spans="5:5" ht="13" x14ac:dyDescent="0.15">
      <c r="E567" s="3" t="str">
        <f ca="1">IFERROR(__xludf.DUMMYFUNCTION("""COMPUTED_VALUE"""),"")</f>
        <v/>
      </c>
    </row>
    <row r="568" spans="5:5" ht="13" x14ac:dyDescent="0.15">
      <c r="E568" s="3" t="str">
        <f ca="1">IFERROR(__xludf.DUMMYFUNCTION("""COMPUTED_VALUE"""),"")</f>
        <v/>
      </c>
    </row>
    <row r="569" spans="5:5" ht="13" x14ac:dyDescent="0.15">
      <c r="E569" s="3" t="str">
        <f ca="1">IFERROR(__xludf.DUMMYFUNCTION("""COMPUTED_VALUE"""),"")</f>
        <v/>
      </c>
    </row>
    <row r="570" spans="5:5" ht="13" x14ac:dyDescent="0.15">
      <c r="E570" s="3" t="str">
        <f ca="1">IFERROR(__xludf.DUMMYFUNCTION("""COMPUTED_VALUE"""),"")</f>
        <v/>
      </c>
    </row>
    <row r="571" spans="5:5" ht="13" x14ac:dyDescent="0.15">
      <c r="E571" s="3" t="str">
        <f ca="1">IFERROR(__xludf.DUMMYFUNCTION("""COMPUTED_VALUE"""),"")</f>
        <v/>
      </c>
    </row>
    <row r="572" spans="5:5" ht="13" x14ac:dyDescent="0.15">
      <c r="E572" s="3" t="str">
        <f ca="1">IFERROR(__xludf.DUMMYFUNCTION("""COMPUTED_VALUE"""),"")</f>
        <v/>
      </c>
    </row>
    <row r="573" spans="5:5" ht="13" x14ac:dyDescent="0.15">
      <c r="E573" s="3" t="str">
        <f ca="1">IFERROR(__xludf.DUMMYFUNCTION("""COMPUTED_VALUE"""),"")</f>
        <v/>
      </c>
    </row>
    <row r="574" spans="5:5" ht="13" x14ac:dyDescent="0.15">
      <c r="E574" s="3" t="str">
        <f ca="1">IFERROR(__xludf.DUMMYFUNCTION("""COMPUTED_VALUE"""),"")</f>
        <v/>
      </c>
    </row>
    <row r="575" spans="5:5" ht="13" x14ac:dyDescent="0.15">
      <c r="E575" s="3" t="str">
        <f ca="1">IFERROR(__xludf.DUMMYFUNCTION("""COMPUTED_VALUE"""),"")</f>
        <v/>
      </c>
    </row>
    <row r="576" spans="5:5" ht="13" x14ac:dyDescent="0.15">
      <c r="E576" s="3" t="str">
        <f ca="1">IFERROR(__xludf.DUMMYFUNCTION("""COMPUTED_VALUE"""),"")</f>
        <v/>
      </c>
    </row>
    <row r="577" spans="5:5" ht="13" x14ac:dyDescent="0.15">
      <c r="E577" s="3" t="str">
        <f ca="1">IFERROR(__xludf.DUMMYFUNCTION("""COMPUTED_VALUE"""),"")</f>
        <v/>
      </c>
    </row>
    <row r="578" spans="5:5" ht="13" x14ac:dyDescent="0.15">
      <c r="E578" s="3" t="str">
        <f ca="1">IFERROR(__xludf.DUMMYFUNCTION("""COMPUTED_VALUE"""),"")</f>
        <v/>
      </c>
    </row>
    <row r="579" spans="5:5" ht="13" x14ac:dyDescent="0.15">
      <c r="E579" s="3" t="str">
        <f ca="1">IFERROR(__xludf.DUMMYFUNCTION("""COMPUTED_VALUE"""),"")</f>
        <v/>
      </c>
    </row>
    <row r="580" spans="5:5" ht="13" x14ac:dyDescent="0.15">
      <c r="E580" s="3" t="str">
        <f ca="1">IFERROR(__xludf.DUMMYFUNCTION("""COMPUTED_VALUE"""),"")</f>
        <v/>
      </c>
    </row>
    <row r="581" spans="5:5" ht="13" x14ac:dyDescent="0.15">
      <c r="E581" s="3" t="str">
        <f ca="1">IFERROR(__xludf.DUMMYFUNCTION("""COMPUTED_VALUE"""),"")</f>
        <v/>
      </c>
    </row>
    <row r="582" spans="5:5" ht="13" x14ac:dyDescent="0.15">
      <c r="E582" s="3" t="str">
        <f ca="1">IFERROR(__xludf.DUMMYFUNCTION("""COMPUTED_VALUE"""),"")</f>
        <v/>
      </c>
    </row>
    <row r="583" spans="5:5" ht="13" x14ac:dyDescent="0.15">
      <c r="E583" s="3" t="str">
        <f ca="1">IFERROR(__xludf.DUMMYFUNCTION("""COMPUTED_VALUE"""),"")</f>
        <v/>
      </c>
    </row>
    <row r="584" spans="5:5" ht="13" x14ac:dyDescent="0.15">
      <c r="E584" s="3" t="str">
        <f ca="1">IFERROR(__xludf.DUMMYFUNCTION("""COMPUTED_VALUE"""),"")</f>
        <v/>
      </c>
    </row>
    <row r="585" spans="5:5" ht="13" x14ac:dyDescent="0.15">
      <c r="E585" s="3" t="str">
        <f ca="1">IFERROR(__xludf.DUMMYFUNCTION("""COMPUTED_VALUE"""),"")</f>
        <v/>
      </c>
    </row>
    <row r="586" spans="5:5" ht="13" x14ac:dyDescent="0.15">
      <c r="E586" s="3" t="str">
        <f ca="1">IFERROR(__xludf.DUMMYFUNCTION("""COMPUTED_VALUE"""),"")</f>
        <v/>
      </c>
    </row>
    <row r="587" spans="5:5" ht="13" x14ac:dyDescent="0.15">
      <c r="E587" s="3" t="str">
        <f ca="1">IFERROR(__xludf.DUMMYFUNCTION("""COMPUTED_VALUE"""),"")</f>
        <v/>
      </c>
    </row>
    <row r="588" spans="5:5" ht="13" x14ac:dyDescent="0.15">
      <c r="E588" s="3" t="str">
        <f ca="1">IFERROR(__xludf.DUMMYFUNCTION("""COMPUTED_VALUE"""),"")</f>
        <v/>
      </c>
    </row>
    <row r="589" spans="5:5" ht="13" x14ac:dyDescent="0.15">
      <c r="E589" s="3" t="str">
        <f ca="1">IFERROR(__xludf.DUMMYFUNCTION("""COMPUTED_VALUE"""),"")</f>
        <v/>
      </c>
    </row>
    <row r="590" spans="5:5" ht="13" x14ac:dyDescent="0.15">
      <c r="E590" s="3" t="str">
        <f ca="1">IFERROR(__xludf.DUMMYFUNCTION("""COMPUTED_VALUE"""),"")</f>
        <v/>
      </c>
    </row>
    <row r="591" spans="5:5" ht="13" x14ac:dyDescent="0.15">
      <c r="E591" s="3" t="str">
        <f ca="1">IFERROR(__xludf.DUMMYFUNCTION("""COMPUTED_VALUE"""),"")</f>
        <v/>
      </c>
    </row>
    <row r="592" spans="5:5" ht="13" x14ac:dyDescent="0.15">
      <c r="E592" s="3" t="str">
        <f ca="1">IFERROR(__xludf.DUMMYFUNCTION("""COMPUTED_VALUE"""),"")</f>
        <v/>
      </c>
    </row>
    <row r="593" spans="5:5" ht="13" x14ac:dyDescent="0.15">
      <c r="E593" s="3" t="str">
        <f ca="1">IFERROR(__xludf.DUMMYFUNCTION("""COMPUTED_VALUE"""),"")</f>
        <v/>
      </c>
    </row>
    <row r="594" spans="5:5" ht="13" x14ac:dyDescent="0.15">
      <c r="E594" s="3" t="str">
        <f ca="1">IFERROR(__xludf.DUMMYFUNCTION("""COMPUTED_VALUE"""),"")</f>
        <v/>
      </c>
    </row>
    <row r="595" spans="5:5" ht="13" x14ac:dyDescent="0.15">
      <c r="E595" s="3" t="str">
        <f ca="1">IFERROR(__xludf.DUMMYFUNCTION("""COMPUTED_VALUE"""),"")</f>
        <v/>
      </c>
    </row>
    <row r="596" spans="5:5" ht="13" x14ac:dyDescent="0.15">
      <c r="E596" s="3" t="str">
        <f ca="1">IFERROR(__xludf.DUMMYFUNCTION("""COMPUTED_VALUE"""),"")</f>
        <v/>
      </c>
    </row>
    <row r="597" spans="5:5" ht="13" x14ac:dyDescent="0.15">
      <c r="E597" s="3" t="str">
        <f ca="1">IFERROR(__xludf.DUMMYFUNCTION("""COMPUTED_VALUE"""),"")</f>
        <v/>
      </c>
    </row>
    <row r="598" spans="5:5" ht="13" x14ac:dyDescent="0.15">
      <c r="E598" s="3" t="str">
        <f ca="1">IFERROR(__xludf.DUMMYFUNCTION("""COMPUTED_VALUE"""),"")</f>
        <v/>
      </c>
    </row>
    <row r="599" spans="5:5" ht="13" x14ac:dyDescent="0.15">
      <c r="E599" s="3" t="str">
        <f ca="1">IFERROR(__xludf.DUMMYFUNCTION("""COMPUTED_VALUE"""),"")</f>
        <v/>
      </c>
    </row>
    <row r="600" spans="5:5" ht="13" x14ac:dyDescent="0.15">
      <c r="E600" s="3" t="str">
        <f ca="1">IFERROR(__xludf.DUMMYFUNCTION("""COMPUTED_VALUE"""),"")</f>
        <v/>
      </c>
    </row>
    <row r="601" spans="5:5" ht="13" x14ac:dyDescent="0.15">
      <c r="E601" s="3" t="str">
        <f ca="1">IFERROR(__xludf.DUMMYFUNCTION("""COMPUTED_VALUE"""),"")</f>
        <v/>
      </c>
    </row>
    <row r="602" spans="5:5" ht="13" x14ac:dyDescent="0.15">
      <c r="E602" s="3" t="str">
        <f ca="1">IFERROR(__xludf.DUMMYFUNCTION("""COMPUTED_VALUE"""),"")</f>
        <v/>
      </c>
    </row>
    <row r="603" spans="5:5" ht="13" x14ac:dyDescent="0.15">
      <c r="E603" s="3" t="str">
        <f ca="1">IFERROR(__xludf.DUMMYFUNCTION("""COMPUTED_VALUE"""),"")</f>
        <v/>
      </c>
    </row>
    <row r="604" spans="5:5" ht="13" x14ac:dyDescent="0.15">
      <c r="E604" s="3" t="str">
        <f ca="1">IFERROR(__xludf.DUMMYFUNCTION("""COMPUTED_VALUE"""),"")</f>
        <v/>
      </c>
    </row>
    <row r="605" spans="5:5" ht="13" x14ac:dyDescent="0.15">
      <c r="E605" s="3" t="str">
        <f ca="1">IFERROR(__xludf.DUMMYFUNCTION("""COMPUTED_VALUE"""),"")</f>
        <v/>
      </c>
    </row>
    <row r="606" spans="5:5" ht="13" x14ac:dyDescent="0.15">
      <c r="E606" s="3" t="str">
        <f ca="1">IFERROR(__xludf.DUMMYFUNCTION("""COMPUTED_VALUE"""),"")</f>
        <v/>
      </c>
    </row>
    <row r="607" spans="5:5" ht="13" x14ac:dyDescent="0.15">
      <c r="E607" s="3" t="str">
        <f ca="1">IFERROR(__xludf.DUMMYFUNCTION("""COMPUTED_VALUE"""),"")</f>
        <v/>
      </c>
    </row>
    <row r="608" spans="5:5" ht="13" x14ac:dyDescent="0.15">
      <c r="E608" s="3" t="str">
        <f ca="1">IFERROR(__xludf.DUMMYFUNCTION("""COMPUTED_VALUE"""),"")</f>
        <v/>
      </c>
    </row>
    <row r="609" spans="5:5" ht="13" x14ac:dyDescent="0.15">
      <c r="E609" s="3" t="str">
        <f ca="1">IFERROR(__xludf.DUMMYFUNCTION("""COMPUTED_VALUE"""),"")</f>
        <v/>
      </c>
    </row>
    <row r="610" spans="5:5" ht="13" x14ac:dyDescent="0.15">
      <c r="E610" s="3" t="str">
        <f ca="1">IFERROR(__xludf.DUMMYFUNCTION("""COMPUTED_VALUE"""),"")</f>
        <v/>
      </c>
    </row>
    <row r="611" spans="5:5" ht="13" x14ac:dyDescent="0.15">
      <c r="E611" s="3" t="str">
        <f ca="1">IFERROR(__xludf.DUMMYFUNCTION("""COMPUTED_VALUE"""),"")</f>
        <v/>
      </c>
    </row>
    <row r="612" spans="5:5" ht="13" x14ac:dyDescent="0.15">
      <c r="E612" s="3" t="str">
        <f ca="1">IFERROR(__xludf.DUMMYFUNCTION("""COMPUTED_VALUE"""),"")</f>
        <v/>
      </c>
    </row>
    <row r="613" spans="5:5" ht="13" x14ac:dyDescent="0.15">
      <c r="E613" s="3" t="str">
        <f ca="1">IFERROR(__xludf.DUMMYFUNCTION("""COMPUTED_VALUE"""),"")</f>
        <v/>
      </c>
    </row>
    <row r="614" spans="5:5" ht="13" x14ac:dyDescent="0.15">
      <c r="E614" s="3" t="str">
        <f ca="1">IFERROR(__xludf.DUMMYFUNCTION("""COMPUTED_VALUE"""),"")</f>
        <v/>
      </c>
    </row>
    <row r="615" spans="5:5" ht="13" x14ac:dyDescent="0.15">
      <c r="E615" s="3" t="str">
        <f ca="1">IFERROR(__xludf.DUMMYFUNCTION("""COMPUTED_VALUE"""),"")</f>
        <v/>
      </c>
    </row>
    <row r="616" spans="5:5" ht="13" x14ac:dyDescent="0.15">
      <c r="E616" s="3" t="str">
        <f ca="1">IFERROR(__xludf.DUMMYFUNCTION("""COMPUTED_VALUE"""),"")</f>
        <v/>
      </c>
    </row>
    <row r="617" spans="5:5" ht="13" x14ac:dyDescent="0.15">
      <c r="E617" s="3" t="str">
        <f ca="1">IFERROR(__xludf.DUMMYFUNCTION("""COMPUTED_VALUE"""),"")</f>
        <v/>
      </c>
    </row>
    <row r="618" spans="5:5" ht="13" x14ac:dyDescent="0.15">
      <c r="E618" s="3" t="str">
        <f ca="1">IFERROR(__xludf.DUMMYFUNCTION("""COMPUTED_VALUE"""),"")</f>
        <v/>
      </c>
    </row>
    <row r="619" spans="5:5" ht="13" x14ac:dyDescent="0.15">
      <c r="E619" s="3" t="str">
        <f ca="1">IFERROR(__xludf.DUMMYFUNCTION("""COMPUTED_VALUE"""),"")</f>
        <v/>
      </c>
    </row>
    <row r="620" spans="5:5" ht="13" x14ac:dyDescent="0.15">
      <c r="E620" s="3" t="str">
        <f ca="1">IFERROR(__xludf.DUMMYFUNCTION("""COMPUTED_VALUE"""),"")</f>
        <v/>
      </c>
    </row>
    <row r="621" spans="5:5" ht="13" x14ac:dyDescent="0.15">
      <c r="E621" s="3" t="str">
        <f ca="1">IFERROR(__xludf.DUMMYFUNCTION("""COMPUTED_VALUE"""),"")</f>
        <v/>
      </c>
    </row>
    <row r="622" spans="5:5" ht="13" x14ac:dyDescent="0.15">
      <c r="E622" s="3" t="str">
        <f ca="1">IFERROR(__xludf.DUMMYFUNCTION("""COMPUTED_VALUE"""),"")</f>
        <v/>
      </c>
    </row>
    <row r="623" spans="5:5" ht="13" x14ac:dyDescent="0.15">
      <c r="E623" s="3" t="str">
        <f ca="1">IFERROR(__xludf.DUMMYFUNCTION("""COMPUTED_VALUE"""),"")</f>
        <v/>
      </c>
    </row>
    <row r="624" spans="5:5" ht="13" x14ac:dyDescent="0.15">
      <c r="E624" s="3" t="str">
        <f ca="1">IFERROR(__xludf.DUMMYFUNCTION("""COMPUTED_VALUE"""),"")</f>
        <v/>
      </c>
    </row>
    <row r="625" spans="5:5" ht="13" x14ac:dyDescent="0.15">
      <c r="E625" s="3" t="str">
        <f ca="1">IFERROR(__xludf.DUMMYFUNCTION("""COMPUTED_VALUE"""),"")</f>
        <v/>
      </c>
    </row>
    <row r="626" spans="5:5" ht="13" x14ac:dyDescent="0.15">
      <c r="E626" s="3" t="str">
        <f ca="1">IFERROR(__xludf.DUMMYFUNCTION("""COMPUTED_VALUE"""),"")</f>
        <v/>
      </c>
    </row>
    <row r="627" spans="5:5" ht="13" x14ac:dyDescent="0.15">
      <c r="E627" s="3" t="str">
        <f ca="1">IFERROR(__xludf.DUMMYFUNCTION("""COMPUTED_VALUE"""),"")</f>
        <v/>
      </c>
    </row>
    <row r="628" spans="5:5" ht="13" x14ac:dyDescent="0.15">
      <c r="E628" s="3" t="str">
        <f ca="1">IFERROR(__xludf.DUMMYFUNCTION("""COMPUTED_VALUE"""),"")</f>
        <v/>
      </c>
    </row>
    <row r="629" spans="5:5" ht="13" x14ac:dyDescent="0.15">
      <c r="E629" s="3" t="str">
        <f ca="1">IFERROR(__xludf.DUMMYFUNCTION("""COMPUTED_VALUE"""),"")</f>
        <v/>
      </c>
    </row>
    <row r="630" spans="5:5" ht="13" x14ac:dyDescent="0.15">
      <c r="E630" s="3" t="str">
        <f ca="1">IFERROR(__xludf.DUMMYFUNCTION("""COMPUTED_VALUE"""),"")</f>
        <v/>
      </c>
    </row>
    <row r="631" spans="5:5" ht="13" x14ac:dyDescent="0.15">
      <c r="E631" s="3" t="str">
        <f ca="1">IFERROR(__xludf.DUMMYFUNCTION("""COMPUTED_VALUE"""),"")</f>
        <v/>
      </c>
    </row>
    <row r="632" spans="5:5" ht="13" x14ac:dyDescent="0.15">
      <c r="E632" s="3" t="str">
        <f ca="1">IFERROR(__xludf.DUMMYFUNCTION("""COMPUTED_VALUE"""),"")</f>
        <v/>
      </c>
    </row>
    <row r="633" spans="5:5" ht="13" x14ac:dyDescent="0.15">
      <c r="E633" s="3" t="str">
        <f ca="1">IFERROR(__xludf.DUMMYFUNCTION("""COMPUTED_VALUE"""),"")</f>
        <v/>
      </c>
    </row>
    <row r="634" spans="5:5" ht="13" x14ac:dyDescent="0.15">
      <c r="E634" s="3" t="str">
        <f ca="1">IFERROR(__xludf.DUMMYFUNCTION("""COMPUTED_VALUE"""),"")</f>
        <v/>
      </c>
    </row>
    <row r="635" spans="5:5" ht="13" x14ac:dyDescent="0.15">
      <c r="E635" s="3" t="str">
        <f ca="1">IFERROR(__xludf.DUMMYFUNCTION("""COMPUTED_VALUE"""),"")</f>
        <v/>
      </c>
    </row>
    <row r="636" spans="5:5" ht="13" x14ac:dyDescent="0.15">
      <c r="E636" s="3" t="str">
        <f ca="1">IFERROR(__xludf.DUMMYFUNCTION("""COMPUTED_VALUE"""),"")</f>
        <v/>
      </c>
    </row>
    <row r="637" spans="5:5" ht="13" x14ac:dyDescent="0.15">
      <c r="E637" s="3" t="str">
        <f ca="1">IFERROR(__xludf.DUMMYFUNCTION("""COMPUTED_VALUE"""),"")</f>
        <v/>
      </c>
    </row>
    <row r="638" spans="5:5" ht="13" x14ac:dyDescent="0.15">
      <c r="E638" s="3" t="str">
        <f ca="1">IFERROR(__xludf.DUMMYFUNCTION("""COMPUTED_VALUE"""),"")</f>
        <v/>
      </c>
    </row>
    <row r="639" spans="5:5" ht="13" x14ac:dyDescent="0.15">
      <c r="E639" s="3" t="str">
        <f ca="1">IFERROR(__xludf.DUMMYFUNCTION("""COMPUTED_VALUE"""),"")</f>
        <v/>
      </c>
    </row>
    <row r="640" spans="5:5" ht="13" x14ac:dyDescent="0.15">
      <c r="E640" s="3" t="str">
        <f ca="1">IFERROR(__xludf.DUMMYFUNCTION("""COMPUTED_VALUE"""),"")</f>
        <v/>
      </c>
    </row>
    <row r="641" spans="5:5" ht="13" x14ac:dyDescent="0.15">
      <c r="E641" s="3" t="str">
        <f ca="1">IFERROR(__xludf.DUMMYFUNCTION("""COMPUTED_VALUE"""),"")</f>
        <v/>
      </c>
    </row>
    <row r="642" spans="5:5" ht="13" x14ac:dyDescent="0.15">
      <c r="E642" s="3" t="str">
        <f ca="1">IFERROR(__xludf.DUMMYFUNCTION("""COMPUTED_VALUE"""),"")</f>
        <v/>
      </c>
    </row>
    <row r="643" spans="5:5" ht="13" x14ac:dyDescent="0.15">
      <c r="E643" s="3" t="str">
        <f ca="1">IFERROR(__xludf.DUMMYFUNCTION("""COMPUTED_VALUE"""),"")</f>
        <v/>
      </c>
    </row>
    <row r="644" spans="5:5" ht="13" x14ac:dyDescent="0.15">
      <c r="E644" s="3" t="str">
        <f ca="1">IFERROR(__xludf.DUMMYFUNCTION("""COMPUTED_VALUE"""),"")</f>
        <v/>
      </c>
    </row>
    <row r="645" spans="5:5" ht="13" x14ac:dyDescent="0.15">
      <c r="E645" s="3" t="str">
        <f ca="1">IFERROR(__xludf.DUMMYFUNCTION("""COMPUTED_VALUE"""),"")</f>
        <v/>
      </c>
    </row>
    <row r="646" spans="5:5" ht="13" x14ac:dyDescent="0.15">
      <c r="E646" s="3" t="str">
        <f ca="1">IFERROR(__xludf.DUMMYFUNCTION("""COMPUTED_VALUE"""),"")</f>
        <v/>
      </c>
    </row>
    <row r="647" spans="5:5" ht="13" x14ac:dyDescent="0.15">
      <c r="E647" s="3" t="str">
        <f ca="1">IFERROR(__xludf.DUMMYFUNCTION("""COMPUTED_VALUE"""),"")</f>
        <v/>
      </c>
    </row>
    <row r="648" spans="5:5" ht="13" x14ac:dyDescent="0.15">
      <c r="E648" s="3" t="str">
        <f ca="1">IFERROR(__xludf.DUMMYFUNCTION("""COMPUTED_VALUE"""),"")</f>
        <v/>
      </c>
    </row>
    <row r="649" spans="5:5" ht="13" x14ac:dyDescent="0.15">
      <c r="E649" s="3" t="str">
        <f ca="1">IFERROR(__xludf.DUMMYFUNCTION("""COMPUTED_VALUE"""),"")</f>
        <v/>
      </c>
    </row>
    <row r="650" spans="5:5" ht="13" x14ac:dyDescent="0.15">
      <c r="E650" s="3" t="str">
        <f ca="1">IFERROR(__xludf.DUMMYFUNCTION("""COMPUTED_VALUE"""),"")</f>
        <v/>
      </c>
    </row>
    <row r="651" spans="5:5" ht="13" x14ac:dyDescent="0.15">
      <c r="E651" s="3" t="str">
        <f ca="1">IFERROR(__xludf.DUMMYFUNCTION("""COMPUTED_VALUE"""),"")</f>
        <v/>
      </c>
    </row>
    <row r="652" spans="5:5" ht="13" x14ac:dyDescent="0.15">
      <c r="E652" s="3" t="str">
        <f ca="1">IFERROR(__xludf.DUMMYFUNCTION("""COMPUTED_VALUE"""),"")</f>
        <v/>
      </c>
    </row>
    <row r="653" spans="5:5" ht="13" x14ac:dyDescent="0.15">
      <c r="E653" s="3" t="str">
        <f ca="1">IFERROR(__xludf.DUMMYFUNCTION("""COMPUTED_VALUE"""),"")</f>
        <v/>
      </c>
    </row>
    <row r="654" spans="5:5" ht="13" x14ac:dyDescent="0.15">
      <c r="E654" s="3" t="str">
        <f ca="1">IFERROR(__xludf.DUMMYFUNCTION("""COMPUTED_VALUE"""),"")</f>
        <v/>
      </c>
    </row>
    <row r="655" spans="5:5" ht="13" x14ac:dyDescent="0.15">
      <c r="E655" s="3" t="str">
        <f ca="1">IFERROR(__xludf.DUMMYFUNCTION("""COMPUTED_VALUE"""),"")</f>
        <v/>
      </c>
    </row>
    <row r="656" spans="5:5" ht="13" x14ac:dyDescent="0.15">
      <c r="E656" s="3" t="str">
        <f ca="1">IFERROR(__xludf.DUMMYFUNCTION("""COMPUTED_VALUE"""),"")</f>
        <v/>
      </c>
    </row>
    <row r="657" spans="5:5" ht="13" x14ac:dyDescent="0.15">
      <c r="E657" s="3" t="str">
        <f ca="1">IFERROR(__xludf.DUMMYFUNCTION("""COMPUTED_VALUE"""),"")</f>
        <v/>
      </c>
    </row>
    <row r="658" spans="5:5" ht="13" x14ac:dyDescent="0.15">
      <c r="E658" s="3" t="str">
        <f ca="1">IFERROR(__xludf.DUMMYFUNCTION("""COMPUTED_VALUE"""),"")</f>
        <v/>
      </c>
    </row>
    <row r="659" spans="5:5" ht="13" x14ac:dyDescent="0.15">
      <c r="E659" s="3" t="str">
        <f ca="1">IFERROR(__xludf.DUMMYFUNCTION("""COMPUTED_VALUE"""),"")</f>
        <v/>
      </c>
    </row>
    <row r="660" spans="5:5" ht="13" x14ac:dyDescent="0.15">
      <c r="E660" s="3" t="str">
        <f ca="1">IFERROR(__xludf.DUMMYFUNCTION("""COMPUTED_VALUE"""),"")</f>
        <v/>
      </c>
    </row>
    <row r="661" spans="5:5" ht="13" x14ac:dyDescent="0.15">
      <c r="E661" s="3" t="str">
        <f ca="1">IFERROR(__xludf.DUMMYFUNCTION("""COMPUTED_VALUE"""),"")</f>
        <v/>
      </c>
    </row>
    <row r="662" spans="5:5" ht="13" x14ac:dyDescent="0.15">
      <c r="E662" s="3" t="str">
        <f ca="1">IFERROR(__xludf.DUMMYFUNCTION("""COMPUTED_VALUE"""),"")</f>
        <v/>
      </c>
    </row>
    <row r="663" spans="5:5" ht="13" x14ac:dyDescent="0.15">
      <c r="E663" s="3" t="str">
        <f ca="1">IFERROR(__xludf.DUMMYFUNCTION("""COMPUTED_VALUE"""),"")</f>
        <v/>
      </c>
    </row>
    <row r="664" spans="5:5" ht="13" x14ac:dyDescent="0.15">
      <c r="E664" s="3" t="str">
        <f ca="1">IFERROR(__xludf.DUMMYFUNCTION("""COMPUTED_VALUE"""),"")</f>
        <v/>
      </c>
    </row>
    <row r="665" spans="5:5" ht="13" x14ac:dyDescent="0.15">
      <c r="E665" s="3" t="str">
        <f ca="1">IFERROR(__xludf.DUMMYFUNCTION("""COMPUTED_VALUE"""),"")</f>
        <v/>
      </c>
    </row>
    <row r="666" spans="5:5" ht="13" x14ac:dyDescent="0.15">
      <c r="E666" s="3" t="str">
        <f ca="1">IFERROR(__xludf.DUMMYFUNCTION("""COMPUTED_VALUE"""),"")</f>
        <v/>
      </c>
    </row>
    <row r="667" spans="5:5" ht="13" x14ac:dyDescent="0.15">
      <c r="E667" s="3" t="str">
        <f ca="1">IFERROR(__xludf.DUMMYFUNCTION("""COMPUTED_VALUE"""),"")</f>
        <v/>
      </c>
    </row>
    <row r="668" spans="5:5" ht="13" x14ac:dyDescent="0.15">
      <c r="E668" s="3" t="str">
        <f ca="1">IFERROR(__xludf.DUMMYFUNCTION("""COMPUTED_VALUE"""),"")</f>
        <v/>
      </c>
    </row>
    <row r="669" spans="5:5" ht="13" x14ac:dyDescent="0.15">
      <c r="E669" s="3" t="str">
        <f ca="1">IFERROR(__xludf.DUMMYFUNCTION("""COMPUTED_VALUE"""),"")</f>
        <v/>
      </c>
    </row>
    <row r="670" spans="5:5" ht="13" x14ac:dyDescent="0.15">
      <c r="E670" s="3" t="str">
        <f ca="1">IFERROR(__xludf.DUMMYFUNCTION("""COMPUTED_VALUE"""),"")</f>
        <v/>
      </c>
    </row>
    <row r="671" spans="5:5" ht="13" x14ac:dyDescent="0.15">
      <c r="E671" s="3" t="str">
        <f ca="1">IFERROR(__xludf.DUMMYFUNCTION("""COMPUTED_VALUE"""),"")</f>
        <v/>
      </c>
    </row>
    <row r="672" spans="5:5" ht="13" x14ac:dyDescent="0.15">
      <c r="E672" s="3" t="str">
        <f ca="1">IFERROR(__xludf.DUMMYFUNCTION("""COMPUTED_VALUE"""),"")</f>
        <v/>
      </c>
    </row>
    <row r="673" spans="5:5" ht="13" x14ac:dyDescent="0.15">
      <c r="E673" s="3" t="str">
        <f ca="1">IFERROR(__xludf.DUMMYFUNCTION("""COMPUTED_VALUE"""),"")</f>
        <v/>
      </c>
    </row>
    <row r="674" spans="5:5" ht="13" x14ac:dyDescent="0.15">
      <c r="E674" s="3" t="str">
        <f ca="1">IFERROR(__xludf.DUMMYFUNCTION("""COMPUTED_VALUE"""),"")</f>
        <v/>
      </c>
    </row>
    <row r="675" spans="5:5" ht="13" x14ac:dyDescent="0.15">
      <c r="E675" s="3" t="str">
        <f ca="1">IFERROR(__xludf.DUMMYFUNCTION("""COMPUTED_VALUE"""),"")</f>
        <v/>
      </c>
    </row>
    <row r="676" spans="5:5" ht="13" x14ac:dyDescent="0.15">
      <c r="E676" s="3" t="str">
        <f ca="1">IFERROR(__xludf.DUMMYFUNCTION("""COMPUTED_VALUE"""),"")</f>
        <v/>
      </c>
    </row>
    <row r="677" spans="5:5" ht="13" x14ac:dyDescent="0.15">
      <c r="E677" s="3" t="str">
        <f ca="1">IFERROR(__xludf.DUMMYFUNCTION("""COMPUTED_VALUE"""),"")</f>
        <v/>
      </c>
    </row>
    <row r="678" spans="5:5" ht="13" x14ac:dyDescent="0.15">
      <c r="E678" s="3" t="str">
        <f ca="1">IFERROR(__xludf.DUMMYFUNCTION("""COMPUTED_VALUE"""),"")</f>
        <v/>
      </c>
    </row>
    <row r="679" spans="5:5" ht="13" x14ac:dyDescent="0.15">
      <c r="E679" s="3" t="str">
        <f ca="1">IFERROR(__xludf.DUMMYFUNCTION("""COMPUTED_VALUE"""),"")</f>
        <v/>
      </c>
    </row>
    <row r="680" spans="5:5" ht="13" x14ac:dyDescent="0.15">
      <c r="E680" s="3" t="str">
        <f ca="1">IFERROR(__xludf.DUMMYFUNCTION("""COMPUTED_VALUE"""),"")</f>
        <v/>
      </c>
    </row>
    <row r="681" spans="5:5" ht="13" x14ac:dyDescent="0.15">
      <c r="E681" s="3" t="str">
        <f ca="1">IFERROR(__xludf.DUMMYFUNCTION("""COMPUTED_VALUE"""),"")</f>
        <v/>
      </c>
    </row>
    <row r="682" spans="5:5" ht="13" x14ac:dyDescent="0.15">
      <c r="E682" s="3" t="str">
        <f ca="1">IFERROR(__xludf.DUMMYFUNCTION("""COMPUTED_VALUE"""),"")</f>
        <v/>
      </c>
    </row>
    <row r="683" spans="5:5" ht="13" x14ac:dyDescent="0.15">
      <c r="E683" s="3" t="str">
        <f ca="1">IFERROR(__xludf.DUMMYFUNCTION("""COMPUTED_VALUE"""),"")</f>
        <v/>
      </c>
    </row>
    <row r="684" spans="5:5" ht="13" x14ac:dyDescent="0.15">
      <c r="E684" s="3" t="str">
        <f ca="1">IFERROR(__xludf.DUMMYFUNCTION("""COMPUTED_VALUE"""),"")</f>
        <v/>
      </c>
    </row>
    <row r="685" spans="5:5" ht="13" x14ac:dyDescent="0.15">
      <c r="E685" s="3" t="str">
        <f ca="1">IFERROR(__xludf.DUMMYFUNCTION("""COMPUTED_VALUE"""),"")</f>
        <v/>
      </c>
    </row>
    <row r="686" spans="5:5" ht="13" x14ac:dyDescent="0.15">
      <c r="E686" s="3" t="str">
        <f ca="1">IFERROR(__xludf.DUMMYFUNCTION("""COMPUTED_VALUE"""),"")</f>
        <v/>
      </c>
    </row>
    <row r="687" spans="5:5" ht="13" x14ac:dyDescent="0.15">
      <c r="E687" s="3" t="str">
        <f ca="1">IFERROR(__xludf.DUMMYFUNCTION("""COMPUTED_VALUE"""),"")</f>
        <v/>
      </c>
    </row>
    <row r="688" spans="5:5" ht="13" x14ac:dyDescent="0.15">
      <c r="E688" s="3" t="str">
        <f ca="1">IFERROR(__xludf.DUMMYFUNCTION("""COMPUTED_VALUE"""),"")</f>
        <v/>
      </c>
    </row>
    <row r="689" spans="5:5" ht="13" x14ac:dyDescent="0.15">
      <c r="E689" s="3" t="str">
        <f ca="1">IFERROR(__xludf.DUMMYFUNCTION("""COMPUTED_VALUE"""),"")</f>
        <v/>
      </c>
    </row>
    <row r="690" spans="5:5" ht="13" x14ac:dyDescent="0.15">
      <c r="E690" s="3" t="str">
        <f ca="1">IFERROR(__xludf.DUMMYFUNCTION("""COMPUTED_VALUE"""),"")</f>
        <v/>
      </c>
    </row>
    <row r="691" spans="5:5" ht="13" x14ac:dyDescent="0.15">
      <c r="E691" s="3" t="str">
        <f ca="1">IFERROR(__xludf.DUMMYFUNCTION("""COMPUTED_VALUE"""),"")</f>
        <v/>
      </c>
    </row>
    <row r="692" spans="5:5" ht="13" x14ac:dyDescent="0.15">
      <c r="E692" s="3" t="str">
        <f ca="1">IFERROR(__xludf.DUMMYFUNCTION("""COMPUTED_VALUE"""),"")</f>
        <v/>
      </c>
    </row>
    <row r="693" spans="5:5" ht="13" x14ac:dyDescent="0.15">
      <c r="E693" s="3" t="str">
        <f ca="1">IFERROR(__xludf.DUMMYFUNCTION("""COMPUTED_VALUE"""),"")</f>
        <v/>
      </c>
    </row>
    <row r="694" spans="5:5" ht="13" x14ac:dyDescent="0.15">
      <c r="E694" s="3" t="str">
        <f ca="1">IFERROR(__xludf.DUMMYFUNCTION("""COMPUTED_VALUE"""),"")</f>
        <v/>
      </c>
    </row>
    <row r="695" spans="5:5" ht="13" x14ac:dyDescent="0.15">
      <c r="E695" s="3" t="str">
        <f ca="1">IFERROR(__xludf.DUMMYFUNCTION("""COMPUTED_VALUE"""),"")</f>
        <v/>
      </c>
    </row>
    <row r="696" spans="5:5" ht="13" x14ac:dyDescent="0.15">
      <c r="E696" s="3" t="str">
        <f ca="1">IFERROR(__xludf.DUMMYFUNCTION("""COMPUTED_VALUE"""),"")</f>
        <v/>
      </c>
    </row>
    <row r="697" spans="5:5" ht="13" x14ac:dyDescent="0.15">
      <c r="E697" s="3" t="str">
        <f ca="1">IFERROR(__xludf.DUMMYFUNCTION("""COMPUTED_VALUE"""),"")</f>
        <v/>
      </c>
    </row>
    <row r="698" spans="5:5" ht="13" x14ac:dyDescent="0.15">
      <c r="E698" s="3" t="str">
        <f ca="1">IFERROR(__xludf.DUMMYFUNCTION("""COMPUTED_VALUE"""),"")</f>
        <v/>
      </c>
    </row>
    <row r="699" spans="5:5" ht="13" x14ac:dyDescent="0.15">
      <c r="E699" s="3" t="str">
        <f ca="1">IFERROR(__xludf.DUMMYFUNCTION("""COMPUTED_VALUE"""),"")</f>
        <v/>
      </c>
    </row>
    <row r="700" spans="5:5" ht="13" x14ac:dyDescent="0.15">
      <c r="E700" s="3" t="str">
        <f ca="1">IFERROR(__xludf.DUMMYFUNCTION("""COMPUTED_VALUE"""),"")</f>
        <v/>
      </c>
    </row>
    <row r="701" spans="5:5" ht="13" x14ac:dyDescent="0.15">
      <c r="E701" s="3" t="str">
        <f ca="1">IFERROR(__xludf.DUMMYFUNCTION("""COMPUTED_VALUE"""),"")</f>
        <v/>
      </c>
    </row>
    <row r="702" spans="5:5" ht="13" x14ac:dyDescent="0.15">
      <c r="E702" s="3" t="str">
        <f ca="1">IFERROR(__xludf.DUMMYFUNCTION("""COMPUTED_VALUE"""),"")</f>
        <v/>
      </c>
    </row>
    <row r="703" spans="5:5" ht="13" x14ac:dyDescent="0.15">
      <c r="E703" s="3" t="str">
        <f ca="1">IFERROR(__xludf.DUMMYFUNCTION("""COMPUTED_VALUE"""),"")</f>
        <v/>
      </c>
    </row>
    <row r="704" spans="5:5" ht="13" x14ac:dyDescent="0.15">
      <c r="E704" s="3" t="str">
        <f ca="1">IFERROR(__xludf.DUMMYFUNCTION("""COMPUTED_VALUE"""),"")</f>
        <v/>
      </c>
    </row>
    <row r="705" spans="5:5" ht="13" x14ac:dyDescent="0.15">
      <c r="E705" s="3" t="str">
        <f ca="1">IFERROR(__xludf.DUMMYFUNCTION("""COMPUTED_VALUE"""),"")</f>
        <v/>
      </c>
    </row>
    <row r="706" spans="5:5" ht="13" x14ac:dyDescent="0.15">
      <c r="E706" s="3" t="str">
        <f ca="1">IFERROR(__xludf.DUMMYFUNCTION("""COMPUTED_VALUE"""),"")</f>
        <v/>
      </c>
    </row>
    <row r="707" spans="5:5" ht="13" x14ac:dyDescent="0.15">
      <c r="E707" s="3" t="str">
        <f ca="1">IFERROR(__xludf.DUMMYFUNCTION("""COMPUTED_VALUE"""),"")</f>
        <v/>
      </c>
    </row>
    <row r="708" spans="5:5" ht="13" x14ac:dyDescent="0.15">
      <c r="E708" s="3" t="str">
        <f ca="1">IFERROR(__xludf.DUMMYFUNCTION("""COMPUTED_VALUE"""),"")</f>
        <v/>
      </c>
    </row>
    <row r="709" spans="5:5" ht="13" x14ac:dyDescent="0.15">
      <c r="E709" s="3" t="str">
        <f ca="1">IFERROR(__xludf.DUMMYFUNCTION("""COMPUTED_VALUE"""),"")</f>
        <v/>
      </c>
    </row>
    <row r="710" spans="5:5" ht="13" x14ac:dyDescent="0.15">
      <c r="E710" s="3" t="str">
        <f ca="1">IFERROR(__xludf.DUMMYFUNCTION("""COMPUTED_VALUE"""),"")</f>
        <v/>
      </c>
    </row>
    <row r="711" spans="5:5" ht="13" x14ac:dyDescent="0.15">
      <c r="E711" s="3" t="str">
        <f ca="1">IFERROR(__xludf.DUMMYFUNCTION("""COMPUTED_VALUE"""),"")</f>
        <v/>
      </c>
    </row>
    <row r="712" spans="5:5" ht="13" x14ac:dyDescent="0.15">
      <c r="E712" s="3" t="str">
        <f ca="1">IFERROR(__xludf.DUMMYFUNCTION("""COMPUTED_VALUE"""),"")</f>
        <v/>
      </c>
    </row>
    <row r="713" spans="5:5" ht="13" x14ac:dyDescent="0.15">
      <c r="E713" s="3" t="str">
        <f ca="1">IFERROR(__xludf.DUMMYFUNCTION("""COMPUTED_VALUE"""),"")</f>
        <v/>
      </c>
    </row>
    <row r="714" spans="5:5" ht="13" x14ac:dyDescent="0.15">
      <c r="E714" s="3" t="str">
        <f ca="1">IFERROR(__xludf.DUMMYFUNCTION("""COMPUTED_VALUE"""),"")</f>
        <v/>
      </c>
    </row>
    <row r="715" spans="5:5" ht="13" x14ac:dyDescent="0.15">
      <c r="E715" s="3" t="str">
        <f ca="1">IFERROR(__xludf.DUMMYFUNCTION("""COMPUTED_VALUE"""),"")</f>
        <v/>
      </c>
    </row>
    <row r="716" spans="5:5" ht="13" x14ac:dyDescent="0.15">
      <c r="E716" s="3" t="str">
        <f ca="1">IFERROR(__xludf.DUMMYFUNCTION("""COMPUTED_VALUE"""),"")</f>
        <v/>
      </c>
    </row>
    <row r="717" spans="5:5" ht="13" x14ac:dyDescent="0.15">
      <c r="E717" s="3" t="str">
        <f ca="1">IFERROR(__xludf.DUMMYFUNCTION("""COMPUTED_VALUE"""),"")</f>
        <v/>
      </c>
    </row>
    <row r="718" spans="5:5" ht="13" x14ac:dyDescent="0.15">
      <c r="E718" s="3" t="str">
        <f ca="1">IFERROR(__xludf.DUMMYFUNCTION("""COMPUTED_VALUE"""),"")</f>
        <v/>
      </c>
    </row>
    <row r="719" spans="5:5" ht="13" x14ac:dyDescent="0.15">
      <c r="E719" s="3" t="str">
        <f ca="1">IFERROR(__xludf.DUMMYFUNCTION("""COMPUTED_VALUE"""),"")</f>
        <v/>
      </c>
    </row>
    <row r="720" spans="5:5" ht="13" x14ac:dyDescent="0.15">
      <c r="E720" s="3" t="str">
        <f ca="1">IFERROR(__xludf.DUMMYFUNCTION("""COMPUTED_VALUE"""),"")</f>
        <v/>
      </c>
    </row>
    <row r="721" spans="5:5" ht="13" x14ac:dyDescent="0.15">
      <c r="E721" s="3" t="str">
        <f ca="1">IFERROR(__xludf.DUMMYFUNCTION("""COMPUTED_VALUE"""),"")</f>
        <v/>
      </c>
    </row>
    <row r="722" spans="5:5" ht="13" x14ac:dyDescent="0.15">
      <c r="E722" s="3" t="str">
        <f ca="1">IFERROR(__xludf.DUMMYFUNCTION("""COMPUTED_VALUE"""),"")</f>
        <v/>
      </c>
    </row>
    <row r="723" spans="5:5" ht="13" x14ac:dyDescent="0.15">
      <c r="E723" s="3" t="str">
        <f ca="1">IFERROR(__xludf.DUMMYFUNCTION("""COMPUTED_VALUE"""),"")</f>
        <v/>
      </c>
    </row>
    <row r="724" spans="5:5" ht="13" x14ac:dyDescent="0.15">
      <c r="E724" s="3" t="str">
        <f ca="1">IFERROR(__xludf.DUMMYFUNCTION("""COMPUTED_VALUE"""),"")</f>
        <v/>
      </c>
    </row>
    <row r="725" spans="5:5" ht="13" x14ac:dyDescent="0.15">
      <c r="E725" s="3" t="str">
        <f ca="1">IFERROR(__xludf.DUMMYFUNCTION("""COMPUTED_VALUE"""),"")</f>
        <v/>
      </c>
    </row>
    <row r="726" spans="5:5" ht="13" x14ac:dyDescent="0.15">
      <c r="E726" s="3" t="str">
        <f ca="1">IFERROR(__xludf.DUMMYFUNCTION("""COMPUTED_VALUE"""),"")</f>
        <v/>
      </c>
    </row>
    <row r="727" spans="5:5" ht="13" x14ac:dyDescent="0.15">
      <c r="E727" s="3" t="str">
        <f ca="1">IFERROR(__xludf.DUMMYFUNCTION("""COMPUTED_VALUE"""),"")</f>
        <v/>
      </c>
    </row>
    <row r="728" spans="5:5" ht="13" x14ac:dyDescent="0.15">
      <c r="E728" s="3" t="str">
        <f ca="1">IFERROR(__xludf.DUMMYFUNCTION("""COMPUTED_VALUE"""),"")</f>
        <v/>
      </c>
    </row>
    <row r="729" spans="5:5" ht="13" x14ac:dyDescent="0.15">
      <c r="E729" s="3" t="str">
        <f ca="1">IFERROR(__xludf.DUMMYFUNCTION("""COMPUTED_VALUE"""),"")</f>
        <v/>
      </c>
    </row>
    <row r="730" spans="5:5" ht="13" x14ac:dyDescent="0.15">
      <c r="E730" s="3" t="str">
        <f ca="1">IFERROR(__xludf.DUMMYFUNCTION("""COMPUTED_VALUE"""),"")</f>
        <v/>
      </c>
    </row>
    <row r="731" spans="5:5" ht="13" x14ac:dyDescent="0.15">
      <c r="E731" s="3" t="str">
        <f ca="1">IFERROR(__xludf.DUMMYFUNCTION("""COMPUTED_VALUE"""),"")</f>
        <v/>
      </c>
    </row>
    <row r="732" spans="5:5" ht="13" x14ac:dyDescent="0.15">
      <c r="E732" s="3" t="str">
        <f ca="1">IFERROR(__xludf.DUMMYFUNCTION("""COMPUTED_VALUE"""),"")</f>
        <v/>
      </c>
    </row>
    <row r="733" spans="5:5" ht="13" x14ac:dyDescent="0.15">
      <c r="E733" s="3" t="str">
        <f ca="1">IFERROR(__xludf.DUMMYFUNCTION("""COMPUTED_VALUE"""),"")</f>
        <v/>
      </c>
    </row>
    <row r="734" spans="5:5" ht="13" x14ac:dyDescent="0.15">
      <c r="E734" s="3" t="str">
        <f ca="1">IFERROR(__xludf.DUMMYFUNCTION("""COMPUTED_VALUE"""),"")</f>
        <v/>
      </c>
    </row>
    <row r="735" spans="5:5" ht="13" x14ac:dyDescent="0.15">
      <c r="E735" s="3" t="str">
        <f ca="1">IFERROR(__xludf.DUMMYFUNCTION("""COMPUTED_VALUE"""),"")</f>
        <v/>
      </c>
    </row>
    <row r="736" spans="5:5" ht="13" x14ac:dyDescent="0.15">
      <c r="E736" s="3" t="str">
        <f ca="1">IFERROR(__xludf.DUMMYFUNCTION("""COMPUTED_VALUE"""),"")</f>
        <v/>
      </c>
    </row>
    <row r="737" spans="5:5" ht="13" x14ac:dyDescent="0.15">
      <c r="E737" s="3" t="str">
        <f ca="1">IFERROR(__xludf.DUMMYFUNCTION("""COMPUTED_VALUE"""),"")</f>
        <v/>
      </c>
    </row>
    <row r="738" spans="5:5" ht="13" x14ac:dyDescent="0.15">
      <c r="E738" s="3" t="str">
        <f ca="1">IFERROR(__xludf.DUMMYFUNCTION("""COMPUTED_VALUE"""),"")</f>
        <v/>
      </c>
    </row>
    <row r="739" spans="5:5" ht="13" x14ac:dyDescent="0.15">
      <c r="E739" s="3" t="str">
        <f ca="1">IFERROR(__xludf.DUMMYFUNCTION("""COMPUTED_VALUE"""),"")</f>
        <v/>
      </c>
    </row>
    <row r="740" spans="5:5" ht="13" x14ac:dyDescent="0.15">
      <c r="E740" s="3" t="str">
        <f ca="1">IFERROR(__xludf.DUMMYFUNCTION("""COMPUTED_VALUE"""),"")</f>
        <v/>
      </c>
    </row>
    <row r="741" spans="5:5" ht="13" x14ac:dyDescent="0.15">
      <c r="E741" s="3" t="str">
        <f ca="1">IFERROR(__xludf.DUMMYFUNCTION("""COMPUTED_VALUE"""),"")</f>
        <v/>
      </c>
    </row>
    <row r="742" spans="5:5" ht="13" x14ac:dyDescent="0.15">
      <c r="E742" s="3" t="str">
        <f ca="1">IFERROR(__xludf.DUMMYFUNCTION("""COMPUTED_VALUE"""),"")</f>
        <v/>
      </c>
    </row>
    <row r="743" spans="5:5" ht="13" x14ac:dyDescent="0.15">
      <c r="E743" s="3" t="str">
        <f ca="1">IFERROR(__xludf.DUMMYFUNCTION("""COMPUTED_VALUE"""),"")</f>
        <v/>
      </c>
    </row>
    <row r="744" spans="5:5" ht="13" x14ac:dyDescent="0.15">
      <c r="E744" s="3" t="str">
        <f ca="1">IFERROR(__xludf.DUMMYFUNCTION("""COMPUTED_VALUE"""),"")</f>
        <v/>
      </c>
    </row>
    <row r="745" spans="5:5" ht="13" x14ac:dyDescent="0.15">
      <c r="E745" s="3" t="str">
        <f ca="1">IFERROR(__xludf.DUMMYFUNCTION("""COMPUTED_VALUE"""),"")</f>
        <v/>
      </c>
    </row>
    <row r="746" spans="5:5" ht="13" x14ac:dyDescent="0.15">
      <c r="E746" s="3" t="str">
        <f ca="1">IFERROR(__xludf.DUMMYFUNCTION("""COMPUTED_VALUE"""),"")</f>
        <v/>
      </c>
    </row>
    <row r="747" spans="5:5" ht="13" x14ac:dyDescent="0.15">
      <c r="E747" s="3" t="str">
        <f ca="1">IFERROR(__xludf.DUMMYFUNCTION("""COMPUTED_VALUE"""),"")</f>
        <v/>
      </c>
    </row>
    <row r="748" spans="5:5" ht="13" x14ac:dyDescent="0.15">
      <c r="E748" s="3" t="str">
        <f ca="1">IFERROR(__xludf.DUMMYFUNCTION("""COMPUTED_VALUE"""),"")</f>
        <v/>
      </c>
    </row>
    <row r="749" spans="5:5" ht="13" x14ac:dyDescent="0.15">
      <c r="E749" s="3" t="str">
        <f ca="1">IFERROR(__xludf.DUMMYFUNCTION("""COMPUTED_VALUE"""),"")</f>
        <v/>
      </c>
    </row>
    <row r="750" spans="5:5" ht="13" x14ac:dyDescent="0.15">
      <c r="E750" s="3" t="str">
        <f ca="1">IFERROR(__xludf.DUMMYFUNCTION("""COMPUTED_VALUE"""),"")</f>
        <v/>
      </c>
    </row>
    <row r="751" spans="5:5" ht="13" x14ac:dyDescent="0.15">
      <c r="E751" s="3" t="str">
        <f ca="1">IFERROR(__xludf.DUMMYFUNCTION("""COMPUTED_VALUE"""),"")</f>
        <v/>
      </c>
    </row>
    <row r="752" spans="5:5" ht="13" x14ac:dyDescent="0.15">
      <c r="E752" s="3" t="str">
        <f ca="1">IFERROR(__xludf.DUMMYFUNCTION("""COMPUTED_VALUE"""),"")</f>
        <v/>
      </c>
    </row>
    <row r="753" spans="5:5" ht="13" x14ac:dyDescent="0.15">
      <c r="E753" s="3" t="str">
        <f ca="1">IFERROR(__xludf.DUMMYFUNCTION("""COMPUTED_VALUE"""),"")</f>
        <v/>
      </c>
    </row>
    <row r="754" spans="5:5" ht="13" x14ac:dyDescent="0.15">
      <c r="E754" s="3" t="str">
        <f ca="1">IFERROR(__xludf.DUMMYFUNCTION("""COMPUTED_VALUE"""),"")</f>
        <v/>
      </c>
    </row>
    <row r="755" spans="5:5" ht="13" x14ac:dyDescent="0.15">
      <c r="E755" s="3" t="str">
        <f ca="1">IFERROR(__xludf.DUMMYFUNCTION("""COMPUTED_VALUE"""),"")</f>
        <v/>
      </c>
    </row>
    <row r="756" spans="5:5" ht="13" x14ac:dyDescent="0.15">
      <c r="E756" s="3" t="str">
        <f ca="1">IFERROR(__xludf.DUMMYFUNCTION("""COMPUTED_VALUE"""),"")</f>
        <v/>
      </c>
    </row>
    <row r="757" spans="5:5" ht="13" x14ac:dyDescent="0.15">
      <c r="E757" s="3" t="str">
        <f ca="1">IFERROR(__xludf.DUMMYFUNCTION("""COMPUTED_VALUE"""),"")</f>
        <v/>
      </c>
    </row>
    <row r="758" spans="5:5" ht="13" x14ac:dyDescent="0.15">
      <c r="E758" s="3" t="str">
        <f ca="1">IFERROR(__xludf.DUMMYFUNCTION("""COMPUTED_VALUE"""),"")</f>
        <v/>
      </c>
    </row>
    <row r="759" spans="5:5" ht="13" x14ac:dyDescent="0.15">
      <c r="E759" s="3" t="str">
        <f ca="1">IFERROR(__xludf.DUMMYFUNCTION("""COMPUTED_VALUE"""),"")</f>
        <v/>
      </c>
    </row>
    <row r="760" spans="5:5" ht="13" x14ac:dyDescent="0.15">
      <c r="E760" s="3" t="str">
        <f ca="1">IFERROR(__xludf.DUMMYFUNCTION("""COMPUTED_VALUE"""),"")</f>
        <v/>
      </c>
    </row>
    <row r="761" spans="5:5" ht="13" x14ac:dyDescent="0.15">
      <c r="E761" s="3" t="str">
        <f ca="1">IFERROR(__xludf.DUMMYFUNCTION("""COMPUTED_VALUE"""),"")</f>
        <v/>
      </c>
    </row>
    <row r="762" spans="5:5" ht="13" x14ac:dyDescent="0.15">
      <c r="E762" s="3" t="str">
        <f ca="1">IFERROR(__xludf.DUMMYFUNCTION("""COMPUTED_VALUE"""),"")</f>
        <v/>
      </c>
    </row>
    <row r="763" spans="5:5" ht="13" x14ac:dyDescent="0.15">
      <c r="E763" s="3" t="str">
        <f ca="1">IFERROR(__xludf.DUMMYFUNCTION("""COMPUTED_VALUE"""),"")</f>
        <v/>
      </c>
    </row>
    <row r="764" spans="5:5" ht="13" x14ac:dyDescent="0.15">
      <c r="E764" s="3" t="str">
        <f ca="1">IFERROR(__xludf.DUMMYFUNCTION("""COMPUTED_VALUE"""),"")</f>
        <v/>
      </c>
    </row>
    <row r="765" spans="5:5" ht="13" x14ac:dyDescent="0.15">
      <c r="E765" s="3" t="str">
        <f ca="1">IFERROR(__xludf.DUMMYFUNCTION("""COMPUTED_VALUE"""),"")</f>
        <v/>
      </c>
    </row>
    <row r="766" spans="5:5" ht="13" x14ac:dyDescent="0.15">
      <c r="E766" s="3" t="str">
        <f ca="1">IFERROR(__xludf.DUMMYFUNCTION("""COMPUTED_VALUE"""),"")</f>
        <v/>
      </c>
    </row>
    <row r="767" spans="5:5" ht="13" x14ac:dyDescent="0.15">
      <c r="E767" s="3" t="str">
        <f ca="1">IFERROR(__xludf.DUMMYFUNCTION("""COMPUTED_VALUE"""),"")</f>
        <v/>
      </c>
    </row>
    <row r="768" spans="5:5" ht="13" x14ac:dyDescent="0.15">
      <c r="E768" s="3" t="str">
        <f ca="1">IFERROR(__xludf.DUMMYFUNCTION("""COMPUTED_VALUE"""),"")</f>
        <v/>
      </c>
    </row>
    <row r="769" spans="5:5" ht="13" x14ac:dyDescent="0.15">
      <c r="E769" s="3" t="str">
        <f ca="1">IFERROR(__xludf.DUMMYFUNCTION("""COMPUTED_VALUE"""),"")</f>
        <v/>
      </c>
    </row>
    <row r="770" spans="5:5" ht="13" x14ac:dyDescent="0.15">
      <c r="E770" s="3" t="str">
        <f ca="1">IFERROR(__xludf.DUMMYFUNCTION("""COMPUTED_VALUE"""),"")</f>
        <v/>
      </c>
    </row>
    <row r="771" spans="5:5" ht="13" x14ac:dyDescent="0.15">
      <c r="E771" s="3" t="str">
        <f ca="1">IFERROR(__xludf.DUMMYFUNCTION("""COMPUTED_VALUE"""),"")</f>
        <v/>
      </c>
    </row>
    <row r="772" spans="5:5" ht="13" x14ac:dyDescent="0.15">
      <c r="E772" s="3" t="str">
        <f ca="1">IFERROR(__xludf.DUMMYFUNCTION("""COMPUTED_VALUE"""),"")</f>
        <v/>
      </c>
    </row>
    <row r="773" spans="5:5" ht="13" x14ac:dyDescent="0.15">
      <c r="E773" s="3" t="str">
        <f ca="1">IFERROR(__xludf.DUMMYFUNCTION("""COMPUTED_VALUE"""),"")</f>
        <v/>
      </c>
    </row>
    <row r="774" spans="5:5" ht="13" x14ac:dyDescent="0.15">
      <c r="E774" s="3" t="str">
        <f ca="1">IFERROR(__xludf.DUMMYFUNCTION("""COMPUTED_VALUE"""),"")</f>
        <v/>
      </c>
    </row>
    <row r="775" spans="5:5" ht="13" x14ac:dyDescent="0.15">
      <c r="E775" s="3" t="str">
        <f ca="1">IFERROR(__xludf.DUMMYFUNCTION("""COMPUTED_VALUE"""),"")</f>
        <v/>
      </c>
    </row>
    <row r="776" spans="5:5" ht="13" x14ac:dyDescent="0.15">
      <c r="E776" s="3" t="str">
        <f ca="1">IFERROR(__xludf.DUMMYFUNCTION("""COMPUTED_VALUE"""),"")</f>
        <v/>
      </c>
    </row>
    <row r="777" spans="5:5" ht="13" x14ac:dyDescent="0.15">
      <c r="E777" s="3" t="str">
        <f ca="1">IFERROR(__xludf.DUMMYFUNCTION("""COMPUTED_VALUE"""),"")</f>
        <v/>
      </c>
    </row>
    <row r="778" spans="5:5" ht="13" x14ac:dyDescent="0.15">
      <c r="E778" s="3" t="str">
        <f ca="1">IFERROR(__xludf.DUMMYFUNCTION("""COMPUTED_VALUE"""),"")</f>
        <v/>
      </c>
    </row>
    <row r="779" spans="5:5" ht="13" x14ac:dyDescent="0.15">
      <c r="E779" s="3" t="str">
        <f ca="1">IFERROR(__xludf.DUMMYFUNCTION("""COMPUTED_VALUE"""),"")</f>
        <v/>
      </c>
    </row>
    <row r="780" spans="5:5" ht="13" x14ac:dyDescent="0.15">
      <c r="E780" s="3" t="str">
        <f ca="1">IFERROR(__xludf.DUMMYFUNCTION("""COMPUTED_VALUE"""),"")</f>
        <v/>
      </c>
    </row>
    <row r="781" spans="5:5" ht="13" x14ac:dyDescent="0.15">
      <c r="E781" s="3" t="str">
        <f ca="1">IFERROR(__xludf.DUMMYFUNCTION("""COMPUTED_VALUE"""),"")</f>
        <v/>
      </c>
    </row>
    <row r="782" spans="5:5" ht="13" x14ac:dyDescent="0.15">
      <c r="E782" s="3" t="str">
        <f ca="1">IFERROR(__xludf.DUMMYFUNCTION("""COMPUTED_VALUE"""),"")</f>
        <v/>
      </c>
    </row>
    <row r="783" spans="5:5" ht="13" x14ac:dyDescent="0.15">
      <c r="E783" s="3" t="str">
        <f ca="1">IFERROR(__xludf.DUMMYFUNCTION("""COMPUTED_VALUE"""),"")</f>
        <v/>
      </c>
    </row>
    <row r="784" spans="5:5" ht="13" x14ac:dyDescent="0.15">
      <c r="E784" s="3" t="str">
        <f ca="1">IFERROR(__xludf.DUMMYFUNCTION("""COMPUTED_VALUE"""),"")</f>
        <v/>
      </c>
    </row>
    <row r="785" spans="5:5" ht="13" x14ac:dyDescent="0.15">
      <c r="E785" s="3" t="str">
        <f ca="1">IFERROR(__xludf.DUMMYFUNCTION("""COMPUTED_VALUE"""),"")</f>
        <v/>
      </c>
    </row>
    <row r="786" spans="5:5" ht="13" x14ac:dyDescent="0.15">
      <c r="E786" s="3" t="str">
        <f ca="1">IFERROR(__xludf.DUMMYFUNCTION("""COMPUTED_VALUE"""),"")</f>
        <v/>
      </c>
    </row>
    <row r="787" spans="5:5" ht="13" x14ac:dyDescent="0.15">
      <c r="E787" s="3" t="str">
        <f ca="1">IFERROR(__xludf.DUMMYFUNCTION("""COMPUTED_VALUE"""),"")</f>
        <v/>
      </c>
    </row>
    <row r="788" spans="5:5" ht="13" x14ac:dyDescent="0.15">
      <c r="E788" s="3" t="str">
        <f ca="1">IFERROR(__xludf.DUMMYFUNCTION("""COMPUTED_VALUE"""),"")</f>
        <v/>
      </c>
    </row>
    <row r="789" spans="5:5" ht="13" x14ac:dyDescent="0.15">
      <c r="E789" s="3" t="str">
        <f ca="1">IFERROR(__xludf.DUMMYFUNCTION("""COMPUTED_VALUE"""),"")</f>
        <v/>
      </c>
    </row>
    <row r="790" spans="5:5" ht="13" x14ac:dyDescent="0.15">
      <c r="E790" s="3" t="str">
        <f ca="1">IFERROR(__xludf.DUMMYFUNCTION("""COMPUTED_VALUE"""),"")</f>
        <v/>
      </c>
    </row>
    <row r="791" spans="5:5" ht="13" x14ac:dyDescent="0.15">
      <c r="E791" s="3" t="str">
        <f ca="1">IFERROR(__xludf.DUMMYFUNCTION("""COMPUTED_VALUE"""),"")</f>
        <v/>
      </c>
    </row>
    <row r="792" spans="5:5" ht="13" x14ac:dyDescent="0.15">
      <c r="E792" s="3" t="str">
        <f ca="1">IFERROR(__xludf.DUMMYFUNCTION("""COMPUTED_VALUE"""),"")</f>
        <v/>
      </c>
    </row>
    <row r="793" spans="5:5" ht="13" x14ac:dyDescent="0.15">
      <c r="E793" s="3" t="str">
        <f ca="1">IFERROR(__xludf.DUMMYFUNCTION("""COMPUTED_VALUE"""),"")</f>
        <v/>
      </c>
    </row>
    <row r="794" spans="5:5" ht="13" x14ac:dyDescent="0.15">
      <c r="E794" s="3" t="str">
        <f ca="1">IFERROR(__xludf.DUMMYFUNCTION("""COMPUTED_VALUE"""),"")</f>
        <v/>
      </c>
    </row>
    <row r="795" spans="5:5" ht="13" x14ac:dyDescent="0.15">
      <c r="E795" s="3" t="str">
        <f ca="1">IFERROR(__xludf.DUMMYFUNCTION("""COMPUTED_VALUE"""),"")</f>
        <v/>
      </c>
    </row>
    <row r="796" spans="5:5" ht="13" x14ac:dyDescent="0.15">
      <c r="E796" s="3" t="str">
        <f ca="1">IFERROR(__xludf.DUMMYFUNCTION("""COMPUTED_VALUE"""),"")</f>
        <v/>
      </c>
    </row>
    <row r="797" spans="5:5" ht="13" x14ac:dyDescent="0.15">
      <c r="E797" s="3" t="str">
        <f ca="1">IFERROR(__xludf.DUMMYFUNCTION("""COMPUTED_VALUE"""),"")</f>
        <v/>
      </c>
    </row>
    <row r="798" spans="5:5" ht="13" x14ac:dyDescent="0.15">
      <c r="E798" s="3" t="str">
        <f ca="1">IFERROR(__xludf.DUMMYFUNCTION("""COMPUTED_VALUE"""),"")</f>
        <v/>
      </c>
    </row>
    <row r="799" spans="5:5" ht="13" x14ac:dyDescent="0.15">
      <c r="E799" s="3" t="str">
        <f ca="1">IFERROR(__xludf.DUMMYFUNCTION("""COMPUTED_VALUE"""),"")</f>
        <v/>
      </c>
    </row>
    <row r="800" spans="5:5" ht="13" x14ac:dyDescent="0.15">
      <c r="E800" s="3" t="str">
        <f ca="1">IFERROR(__xludf.DUMMYFUNCTION("""COMPUTED_VALUE"""),"")</f>
        <v/>
      </c>
    </row>
    <row r="801" spans="5:5" ht="13" x14ac:dyDescent="0.15">
      <c r="E801" s="3" t="str">
        <f ca="1">IFERROR(__xludf.DUMMYFUNCTION("""COMPUTED_VALUE"""),"")</f>
        <v/>
      </c>
    </row>
    <row r="802" spans="5:5" ht="13" x14ac:dyDescent="0.15">
      <c r="E802" s="3" t="str">
        <f ca="1">IFERROR(__xludf.DUMMYFUNCTION("""COMPUTED_VALUE"""),"")</f>
        <v/>
      </c>
    </row>
    <row r="803" spans="5:5" ht="13" x14ac:dyDescent="0.15">
      <c r="E803" s="3" t="str">
        <f ca="1">IFERROR(__xludf.DUMMYFUNCTION("""COMPUTED_VALUE"""),"")</f>
        <v/>
      </c>
    </row>
    <row r="804" spans="5:5" ht="13" x14ac:dyDescent="0.15">
      <c r="E804" s="3" t="str">
        <f ca="1">IFERROR(__xludf.DUMMYFUNCTION("""COMPUTED_VALUE"""),"")</f>
        <v/>
      </c>
    </row>
    <row r="805" spans="5:5" ht="13" x14ac:dyDescent="0.15">
      <c r="E805" s="3" t="str">
        <f ca="1">IFERROR(__xludf.DUMMYFUNCTION("""COMPUTED_VALUE"""),"")</f>
        <v/>
      </c>
    </row>
    <row r="806" spans="5:5" ht="13" x14ac:dyDescent="0.15">
      <c r="E806" s="3" t="str">
        <f ca="1">IFERROR(__xludf.DUMMYFUNCTION("""COMPUTED_VALUE"""),"")</f>
        <v/>
      </c>
    </row>
    <row r="807" spans="5:5" ht="13" x14ac:dyDescent="0.15">
      <c r="E807" s="3" t="str">
        <f ca="1">IFERROR(__xludf.DUMMYFUNCTION("""COMPUTED_VALUE"""),"")</f>
        <v/>
      </c>
    </row>
    <row r="808" spans="5:5" ht="13" x14ac:dyDescent="0.15">
      <c r="E808" s="3" t="str">
        <f ca="1">IFERROR(__xludf.DUMMYFUNCTION("""COMPUTED_VALUE"""),"")</f>
        <v/>
      </c>
    </row>
    <row r="809" spans="5:5" ht="13" x14ac:dyDescent="0.15">
      <c r="E809" s="3" t="str">
        <f ca="1">IFERROR(__xludf.DUMMYFUNCTION("""COMPUTED_VALUE"""),"")</f>
        <v/>
      </c>
    </row>
    <row r="810" spans="5:5" ht="13" x14ac:dyDescent="0.15">
      <c r="E810" s="3" t="str">
        <f ca="1">IFERROR(__xludf.DUMMYFUNCTION("""COMPUTED_VALUE"""),"")</f>
        <v/>
      </c>
    </row>
    <row r="811" spans="5:5" ht="13" x14ac:dyDescent="0.15">
      <c r="E811" s="3" t="str">
        <f ca="1">IFERROR(__xludf.DUMMYFUNCTION("""COMPUTED_VALUE"""),"")</f>
        <v/>
      </c>
    </row>
    <row r="812" spans="5:5" ht="13" x14ac:dyDescent="0.15">
      <c r="E812" s="3" t="str">
        <f ca="1">IFERROR(__xludf.DUMMYFUNCTION("""COMPUTED_VALUE"""),"")</f>
        <v/>
      </c>
    </row>
    <row r="813" spans="5:5" ht="13" x14ac:dyDescent="0.15">
      <c r="E813" s="3" t="str">
        <f ca="1">IFERROR(__xludf.DUMMYFUNCTION("""COMPUTED_VALUE"""),"")</f>
        <v/>
      </c>
    </row>
    <row r="814" spans="5:5" ht="13" x14ac:dyDescent="0.15">
      <c r="E814" s="3" t="str">
        <f ca="1">IFERROR(__xludf.DUMMYFUNCTION("""COMPUTED_VALUE"""),"")</f>
        <v/>
      </c>
    </row>
    <row r="815" spans="5:5" ht="13" x14ac:dyDescent="0.15">
      <c r="E815" s="3" t="str">
        <f ca="1">IFERROR(__xludf.DUMMYFUNCTION("""COMPUTED_VALUE"""),"")</f>
        <v/>
      </c>
    </row>
    <row r="816" spans="5:5" ht="13" x14ac:dyDescent="0.15">
      <c r="E816" s="3" t="str">
        <f ca="1">IFERROR(__xludf.DUMMYFUNCTION("""COMPUTED_VALUE"""),"")</f>
        <v/>
      </c>
    </row>
    <row r="817" spans="5:5" ht="13" x14ac:dyDescent="0.15">
      <c r="E817" s="3" t="str">
        <f ca="1">IFERROR(__xludf.DUMMYFUNCTION("""COMPUTED_VALUE"""),"")</f>
        <v/>
      </c>
    </row>
    <row r="818" spans="5:5" ht="13" x14ac:dyDescent="0.15">
      <c r="E818" s="3" t="str">
        <f ca="1">IFERROR(__xludf.DUMMYFUNCTION("""COMPUTED_VALUE"""),"")</f>
        <v/>
      </c>
    </row>
    <row r="819" spans="5:5" ht="13" x14ac:dyDescent="0.15">
      <c r="E819" s="3" t="str">
        <f ca="1">IFERROR(__xludf.DUMMYFUNCTION("""COMPUTED_VALUE"""),"")</f>
        <v/>
      </c>
    </row>
    <row r="820" spans="5:5" ht="13" x14ac:dyDescent="0.15">
      <c r="E820" s="3" t="str">
        <f ca="1">IFERROR(__xludf.DUMMYFUNCTION("""COMPUTED_VALUE"""),"")</f>
        <v/>
      </c>
    </row>
    <row r="821" spans="5:5" ht="13" x14ac:dyDescent="0.15">
      <c r="E821" s="3" t="str">
        <f ca="1">IFERROR(__xludf.DUMMYFUNCTION("""COMPUTED_VALUE"""),"")</f>
        <v/>
      </c>
    </row>
    <row r="822" spans="5:5" ht="13" x14ac:dyDescent="0.15">
      <c r="E822" s="3" t="str">
        <f ca="1">IFERROR(__xludf.DUMMYFUNCTION("""COMPUTED_VALUE"""),"")</f>
        <v/>
      </c>
    </row>
    <row r="823" spans="5:5" ht="13" x14ac:dyDescent="0.15">
      <c r="E823" s="3" t="str">
        <f ca="1">IFERROR(__xludf.DUMMYFUNCTION("""COMPUTED_VALUE"""),"")</f>
        <v/>
      </c>
    </row>
    <row r="824" spans="5:5" ht="13" x14ac:dyDescent="0.15">
      <c r="E824" s="3" t="str">
        <f ca="1">IFERROR(__xludf.DUMMYFUNCTION("""COMPUTED_VALUE"""),"")</f>
        <v/>
      </c>
    </row>
    <row r="825" spans="5:5" ht="13" x14ac:dyDescent="0.15">
      <c r="E825" s="3" t="str">
        <f ca="1">IFERROR(__xludf.DUMMYFUNCTION("""COMPUTED_VALUE"""),"")</f>
        <v/>
      </c>
    </row>
    <row r="826" spans="5:5" ht="13" x14ac:dyDescent="0.15">
      <c r="E826" s="3" t="str">
        <f ca="1">IFERROR(__xludf.DUMMYFUNCTION("""COMPUTED_VALUE"""),"")</f>
        <v/>
      </c>
    </row>
    <row r="827" spans="5:5" ht="13" x14ac:dyDescent="0.15">
      <c r="E827" s="3" t="str">
        <f ca="1">IFERROR(__xludf.DUMMYFUNCTION("""COMPUTED_VALUE"""),"")</f>
        <v/>
      </c>
    </row>
    <row r="828" spans="5:5" ht="13" x14ac:dyDescent="0.15">
      <c r="E828" s="3" t="str">
        <f ca="1">IFERROR(__xludf.DUMMYFUNCTION("""COMPUTED_VALUE"""),"")</f>
        <v/>
      </c>
    </row>
    <row r="829" spans="5:5" ht="13" x14ac:dyDescent="0.15">
      <c r="E829" s="3" t="str">
        <f ca="1">IFERROR(__xludf.DUMMYFUNCTION("""COMPUTED_VALUE"""),"")</f>
        <v/>
      </c>
    </row>
    <row r="830" spans="5:5" ht="13" x14ac:dyDescent="0.15">
      <c r="E830" s="3" t="str">
        <f ca="1">IFERROR(__xludf.DUMMYFUNCTION("""COMPUTED_VALUE"""),"")</f>
        <v/>
      </c>
    </row>
    <row r="831" spans="5:5" ht="13" x14ac:dyDescent="0.15">
      <c r="E831" s="3" t="str">
        <f ca="1">IFERROR(__xludf.DUMMYFUNCTION("""COMPUTED_VALUE"""),"")</f>
        <v/>
      </c>
    </row>
    <row r="832" spans="5:5" ht="13" x14ac:dyDescent="0.15">
      <c r="E832" s="3" t="str">
        <f ca="1">IFERROR(__xludf.DUMMYFUNCTION("""COMPUTED_VALUE"""),"")</f>
        <v/>
      </c>
    </row>
    <row r="833" spans="5:5" ht="13" x14ac:dyDescent="0.15">
      <c r="E833" s="3" t="str">
        <f ca="1">IFERROR(__xludf.DUMMYFUNCTION("""COMPUTED_VALUE"""),"")</f>
        <v/>
      </c>
    </row>
    <row r="834" spans="5:5" ht="13" x14ac:dyDescent="0.15">
      <c r="E834" s="3" t="str">
        <f ca="1">IFERROR(__xludf.DUMMYFUNCTION("""COMPUTED_VALUE"""),"")</f>
        <v/>
      </c>
    </row>
    <row r="835" spans="5:5" ht="13" x14ac:dyDescent="0.15">
      <c r="E835" s="3" t="str">
        <f ca="1">IFERROR(__xludf.DUMMYFUNCTION("""COMPUTED_VALUE"""),"")</f>
        <v/>
      </c>
    </row>
    <row r="836" spans="5:5" ht="13" x14ac:dyDescent="0.15">
      <c r="E836" s="3" t="str">
        <f ca="1">IFERROR(__xludf.DUMMYFUNCTION("""COMPUTED_VALUE"""),"")</f>
        <v/>
      </c>
    </row>
    <row r="837" spans="5:5" ht="13" x14ac:dyDescent="0.15">
      <c r="E837" s="3" t="str">
        <f ca="1">IFERROR(__xludf.DUMMYFUNCTION("""COMPUTED_VALUE"""),"")</f>
        <v/>
      </c>
    </row>
    <row r="838" spans="5:5" ht="13" x14ac:dyDescent="0.15">
      <c r="E838" s="3" t="str">
        <f ca="1">IFERROR(__xludf.DUMMYFUNCTION("""COMPUTED_VALUE"""),"")</f>
        <v/>
      </c>
    </row>
    <row r="839" spans="5:5" ht="13" x14ac:dyDescent="0.15">
      <c r="E839" s="3" t="str">
        <f ca="1">IFERROR(__xludf.DUMMYFUNCTION("""COMPUTED_VALUE"""),"")</f>
        <v/>
      </c>
    </row>
    <row r="840" spans="5:5" ht="13" x14ac:dyDescent="0.15">
      <c r="E840" s="3" t="str">
        <f ca="1">IFERROR(__xludf.DUMMYFUNCTION("""COMPUTED_VALUE"""),"")</f>
        <v/>
      </c>
    </row>
    <row r="841" spans="5:5" ht="13" x14ac:dyDescent="0.15">
      <c r="E841" s="3" t="str">
        <f ca="1">IFERROR(__xludf.DUMMYFUNCTION("""COMPUTED_VALUE"""),"")</f>
        <v/>
      </c>
    </row>
    <row r="842" spans="5:5" ht="13" x14ac:dyDescent="0.15">
      <c r="E842" s="3" t="str">
        <f ca="1">IFERROR(__xludf.DUMMYFUNCTION("""COMPUTED_VALUE"""),"")</f>
        <v/>
      </c>
    </row>
    <row r="843" spans="5:5" ht="13" x14ac:dyDescent="0.15">
      <c r="E843" s="3" t="str">
        <f ca="1">IFERROR(__xludf.DUMMYFUNCTION("""COMPUTED_VALUE"""),"")</f>
        <v/>
      </c>
    </row>
    <row r="844" spans="5:5" ht="13" x14ac:dyDescent="0.15">
      <c r="E844" s="3" t="str">
        <f ca="1">IFERROR(__xludf.DUMMYFUNCTION("""COMPUTED_VALUE"""),"")</f>
        <v/>
      </c>
    </row>
    <row r="845" spans="5:5" ht="13" x14ac:dyDescent="0.15">
      <c r="E845" s="3" t="str">
        <f ca="1">IFERROR(__xludf.DUMMYFUNCTION("""COMPUTED_VALUE"""),"")</f>
        <v/>
      </c>
    </row>
    <row r="846" spans="5:5" ht="13" x14ac:dyDescent="0.15">
      <c r="E846" s="3" t="str">
        <f ca="1">IFERROR(__xludf.DUMMYFUNCTION("""COMPUTED_VALUE"""),"")</f>
        <v/>
      </c>
    </row>
    <row r="847" spans="5:5" ht="13" x14ac:dyDescent="0.15">
      <c r="E847" s="3" t="str">
        <f ca="1">IFERROR(__xludf.DUMMYFUNCTION("""COMPUTED_VALUE"""),"")</f>
        <v/>
      </c>
    </row>
    <row r="848" spans="5:5" ht="13" x14ac:dyDescent="0.15">
      <c r="E848" s="3" t="str">
        <f ca="1">IFERROR(__xludf.DUMMYFUNCTION("""COMPUTED_VALUE"""),"")</f>
        <v/>
      </c>
    </row>
    <row r="849" spans="5:5" ht="13" x14ac:dyDescent="0.15">
      <c r="E849" s="3" t="str">
        <f ca="1">IFERROR(__xludf.DUMMYFUNCTION("""COMPUTED_VALUE"""),"")</f>
        <v/>
      </c>
    </row>
    <row r="850" spans="5:5" ht="13" x14ac:dyDescent="0.15">
      <c r="E850" s="3" t="str">
        <f ca="1">IFERROR(__xludf.DUMMYFUNCTION("""COMPUTED_VALUE"""),"")</f>
        <v/>
      </c>
    </row>
    <row r="851" spans="5:5" ht="13" x14ac:dyDescent="0.15">
      <c r="E851" s="3" t="str">
        <f ca="1">IFERROR(__xludf.DUMMYFUNCTION("""COMPUTED_VALUE"""),"")</f>
        <v/>
      </c>
    </row>
    <row r="852" spans="5:5" ht="13" x14ac:dyDescent="0.15">
      <c r="E852" s="3" t="str">
        <f ca="1">IFERROR(__xludf.DUMMYFUNCTION("""COMPUTED_VALUE"""),"")</f>
        <v/>
      </c>
    </row>
    <row r="853" spans="5:5" ht="13" x14ac:dyDescent="0.15">
      <c r="E853" s="3" t="str">
        <f ca="1">IFERROR(__xludf.DUMMYFUNCTION("""COMPUTED_VALUE"""),"")</f>
        <v/>
      </c>
    </row>
    <row r="854" spans="5:5" ht="13" x14ac:dyDescent="0.15">
      <c r="E854" s="3" t="str">
        <f ca="1">IFERROR(__xludf.DUMMYFUNCTION("""COMPUTED_VALUE"""),"")</f>
        <v/>
      </c>
    </row>
    <row r="855" spans="5:5" ht="13" x14ac:dyDescent="0.15">
      <c r="E855" s="3" t="str">
        <f ca="1">IFERROR(__xludf.DUMMYFUNCTION("""COMPUTED_VALUE"""),"")</f>
        <v/>
      </c>
    </row>
    <row r="856" spans="5:5" ht="13" x14ac:dyDescent="0.15">
      <c r="E856" s="3" t="str">
        <f ca="1">IFERROR(__xludf.DUMMYFUNCTION("""COMPUTED_VALUE"""),"")</f>
        <v/>
      </c>
    </row>
    <row r="857" spans="5:5" ht="13" x14ac:dyDescent="0.15">
      <c r="E857" s="3" t="str">
        <f ca="1">IFERROR(__xludf.DUMMYFUNCTION("""COMPUTED_VALUE"""),"")</f>
        <v/>
      </c>
    </row>
    <row r="858" spans="5:5" ht="13" x14ac:dyDescent="0.15">
      <c r="E858" s="3" t="str">
        <f ca="1">IFERROR(__xludf.DUMMYFUNCTION("""COMPUTED_VALUE"""),"")</f>
        <v/>
      </c>
    </row>
    <row r="859" spans="5:5" ht="13" x14ac:dyDescent="0.15">
      <c r="E859" s="3" t="str">
        <f ca="1">IFERROR(__xludf.DUMMYFUNCTION("""COMPUTED_VALUE"""),"")</f>
        <v/>
      </c>
    </row>
    <row r="860" spans="5:5" ht="13" x14ac:dyDescent="0.15">
      <c r="E860" s="3" t="str">
        <f ca="1">IFERROR(__xludf.DUMMYFUNCTION("""COMPUTED_VALUE"""),"")</f>
        <v/>
      </c>
    </row>
    <row r="861" spans="5:5" ht="13" x14ac:dyDescent="0.15">
      <c r="E861" s="3" t="str">
        <f ca="1">IFERROR(__xludf.DUMMYFUNCTION("""COMPUTED_VALUE"""),"")</f>
        <v/>
      </c>
    </row>
    <row r="862" spans="5:5" ht="13" x14ac:dyDescent="0.15">
      <c r="E862" s="3" t="str">
        <f ca="1">IFERROR(__xludf.DUMMYFUNCTION("""COMPUTED_VALUE"""),"")</f>
        <v/>
      </c>
    </row>
    <row r="863" spans="5:5" ht="13" x14ac:dyDescent="0.15">
      <c r="E863" s="3" t="str">
        <f ca="1">IFERROR(__xludf.DUMMYFUNCTION("""COMPUTED_VALUE"""),"")</f>
        <v/>
      </c>
    </row>
    <row r="864" spans="5:5" ht="13" x14ac:dyDescent="0.15">
      <c r="E864" s="3" t="str">
        <f ca="1">IFERROR(__xludf.DUMMYFUNCTION("""COMPUTED_VALUE"""),"")</f>
        <v/>
      </c>
    </row>
    <row r="865" spans="5:5" ht="13" x14ac:dyDescent="0.15">
      <c r="E865" s="3" t="str">
        <f ca="1">IFERROR(__xludf.DUMMYFUNCTION("""COMPUTED_VALUE"""),"")</f>
        <v/>
      </c>
    </row>
    <row r="866" spans="5:5" ht="13" x14ac:dyDescent="0.15">
      <c r="E866" s="3" t="str">
        <f ca="1">IFERROR(__xludf.DUMMYFUNCTION("""COMPUTED_VALUE"""),"")</f>
        <v/>
      </c>
    </row>
    <row r="867" spans="5:5" ht="13" x14ac:dyDescent="0.15">
      <c r="E867" s="3" t="str">
        <f ca="1">IFERROR(__xludf.DUMMYFUNCTION("""COMPUTED_VALUE"""),"")</f>
        <v/>
      </c>
    </row>
    <row r="868" spans="5:5" ht="13" x14ac:dyDescent="0.15">
      <c r="E868" s="3" t="str">
        <f ca="1">IFERROR(__xludf.DUMMYFUNCTION("""COMPUTED_VALUE"""),"")</f>
        <v/>
      </c>
    </row>
    <row r="869" spans="5:5" ht="13" x14ac:dyDescent="0.15">
      <c r="E869" s="3" t="str">
        <f ca="1">IFERROR(__xludf.DUMMYFUNCTION("""COMPUTED_VALUE"""),"")</f>
        <v/>
      </c>
    </row>
    <row r="870" spans="5:5" ht="13" x14ac:dyDescent="0.15">
      <c r="E870" s="3" t="str">
        <f ca="1">IFERROR(__xludf.DUMMYFUNCTION("""COMPUTED_VALUE"""),"")</f>
        <v/>
      </c>
    </row>
    <row r="871" spans="5:5" ht="13" x14ac:dyDescent="0.15">
      <c r="E871" s="3" t="str">
        <f ca="1">IFERROR(__xludf.DUMMYFUNCTION("""COMPUTED_VALUE"""),"")</f>
        <v/>
      </c>
    </row>
    <row r="872" spans="5:5" ht="13" x14ac:dyDescent="0.15">
      <c r="E872" s="3" t="str">
        <f ca="1">IFERROR(__xludf.DUMMYFUNCTION("""COMPUTED_VALUE"""),"")</f>
        <v/>
      </c>
    </row>
    <row r="873" spans="5:5" ht="13" x14ac:dyDescent="0.15">
      <c r="E873" s="3" t="str">
        <f ca="1">IFERROR(__xludf.DUMMYFUNCTION("""COMPUTED_VALUE"""),"")</f>
        <v/>
      </c>
    </row>
    <row r="874" spans="5:5" ht="13" x14ac:dyDescent="0.15">
      <c r="E874" s="3" t="str">
        <f ca="1">IFERROR(__xludf.DUMMYFUNCTION("""COMPUTED_VALUE"""),"")</f>
        <v/>
      </c>
    </row>
    <row r="875" spans="5:5" ht="13" x14ac:dyDescent="0.15">
      <c r="E875" s="3" t="str">
        <f ca="1">IFERROR(__xludf.DUMMYFUNCTION("""COMPUTED_VALUE"""),"")</f>
        <v/>
      </c>
    </row>
    <row r="876" spans="5:5" ht="13" x14ac:dyDescent="0.15">
      <c r="E876" s="3" t="str">
        <f ca="1">IFERROR(__xludf.DUMMYFUNCTION("""COMPUTED_VALUE"""),"")</f>
        <v/>
      </c>
    </row>
    <row r="877" spans="5:5" ht="13" x14ac:dyDescent="0.15">
      <c r="E877" s="3" t="str">
        <f ca="1">IFERROR(__xludf.DUMMYFUNCTION("""COMPUTED_VALUE"""),"")</f>
        <v/>
      </c>
    </row>
    <row r="878" spans="5:5" ht="13" x14ac:dyDescent="0.15">
      <c r="E878" s="3" t="str">
        <f ca="1">IFERROR(__xludf.DUMMYFUNCTION("""COMPUTED_VALUE"""),"")</f>
        <v/>
      </c>
    </row>
    <row r="879" spans="5:5" ht="13" x14ac:dyDescent="0.15">
      <c r="E879" s="3" t="str">
        <f ca="1">IFERROR(__xludf.DUMMYFUNCTION("""COMPUTED_VALUE"""),"")</f>
        <v/>
      </c>
    </row>
    <row r="880" spans="5:5" ht="13" x14ac:dyDescent="0.15">
      <c r="E880" s="3" t="str">
        <f ca="1">IFERROR(__xludf.DUMMYFUNCTION("""COMPUTED_VALUE"""),"")</f>
        <v/>
      </c>
    </row>
    <row r="881" spans="5:5" ht="13" x14ac:dyDescent="0.15">
      <c r="E881" s="3" t="str">
        <f ca="1">IFERROR(__xludf.DUMMYFUNCTION("""COMPUTED_VALUE"""),"")</f>
        <v/>
      </c>
    </row>
    <row r="882" spans="5:5" ht="13" x14ac:dyDescent="0.15">
      <c r="E882" s="3" t="str">
        <f ca="1">IFERROR(__xludf.DUMMYFUNCTION("""COMPUTED_VALUE"""),"")</f>
        <v/>
      </c>
    </row>
    <row r="883" spans="5:5" ht="13" x14ac:dyDescent="0.15">
      <c r="E883" s="3" t="str">
        <f ca="1">IFERROR(__xludf.DUMMYFUNCTION("""COMPUTED_VALUE"""),"")</f>
        <v/>
      </c>
    </row>
    <row r="884" spans="5:5" ht="13" x14ac:dyDescent="0.15">
      <c r="E884" s="3" t="str">
        <f ca="1">IFERROR(__xludf.DUMMYFUNCTION("""COMPUTED_VALUE"""),"")</f>
        <v/>
      </c>
    </row>
    <row r="885" spans="5:5" ht="13" x14ac:dyDescent="0.15">
      <c r="E885" s="3" t="str">
        <f ca="1">IFERROR(__xludf.DUMMYFUNCTION("""COMPUTED_VALUE"""),"")</f>
        <v/>
      </c>
    </row>
    <row r="886" spans="5:5" ht="13" x14ac:dyDescent="0.15">
      <c r="E886" s="3" t="str">
        <f ca="1">IFERROR(__xludf.DUMMYFUNCTION("""COMPUTED_VALUE"""),"")</f>
        <v/>
      </c>
    </row>
    <row r="887" spans="5:5" ht="13" x14ac:dyDescent="0.15">
      <c r="E887" s="3" t="str">
        <f ca="1">IFERROR(__xludf.DUMMYFUNCTION("""COMPUTED_VALUE"""),"")</f>
        <v/>
      </c>
    </row>
    <row r="888" spans="5:5" ht="13" x14ac:dyDescent="0.15">
      <c r="E888" s="3" t="str">
        <f ca="1">IFERROR(__xludf.DUMMYFUNCTION("""COMPUTED_VALUE"""),"")</f>
        <v/>
      </c>
    </row>
    <row r="889" spans="5:5" ht="13" x14ac:dyDescent="0.15">
      <c r="E889" s="3" t="str">
        <f ca="1">IFERROR(__xludf.DUMMYFUNCTION("""COMPUTED_VALUE"""),"")</f>
        <v/>
      </c>
    </row>
    <row r="890" spans="5:5" ht="13" x14ac:dyDescent="0.15">
      <c r="E890" s="3" t="str">
        <f ca="1">IFERROR(__xludf.DUMMYFUNCTION("""COMPUTED_VALUE"""),"")</f>
        <v/>
      </c>
    </row>
    <row r="891" spans="5:5" ht="13" x14ac:dyDescent="0.15">
      <c r="E891" s="3" t="str">
        <f ca="1">IFERROR(__xludf.DUMMYFUNCTION("""COMPUTED_VALUE"""),"")</f>
        <v/>
      </c>
    </row>
    <row r="892" spans="5:5" ht="13" x14ac:dyDescent="0.15">
      <c r="E892" s="3" t="str">
        <f ca="1">IFERROR(__xludf.DUMMYFUNCTION("""COMPUTED_VALUE"""),"")</f>
        <v/>
      </c>
    </row>
    <row r="893" spans="5:5" ht="13" x14ac:dyDescent="0.15">
      <c r="E893" s="3" t="str">
        <f ca="1">IFERROR(__xludf.DUMMYFUNCTION("""COMPUTED_VALUE"""),"")</f>
        <v/>
      </c>
    </row>
    <row r="894" spans="5:5" ht="13" x14ac:dyDescent="0.15">
      <c r="E894" s="3" t="str">
        <f ca="1">IFERROR(__xludf.DUMMYFUNCTION("""COMPUTED_VALUE"""),"")</f>
        <v/>
      </c>
    </row>
    <row r="895" spans="5:5" ht="13" x14ac:dyDescent="0.15">
      <c r="E895" s="3" t="str">
        <f ca="1">IFERROR(__xludf.DUMMYFUNCTION("""COMPUTED_VALUE"""),"")</f>
        <v/>
      </c>
    </row>
    <row r="896" spans="5:5" ht="13" x14ac:dyDescent="0.15">
      <c r="E896" s="3" t="str">
        <f ca="1">IFERROR(__xludf.DUMMYFUNCTION("""COMPUTED_VALUE"""),"")</f>
        <v/>
      </c>
    </row>
    <row r="897" spans="5:5" ht="13" x14ac:dyDescent="0.15">
      <c r="E897" s="3" t="str">
        <f ca="1">IFERROR(__xludf.DUMMYFUNCTION("""COMPUTED_VALUE"""),"")</f>
        <v/>
      </c>
    </row>
    <row r="898" spans="5:5" ht="13" x14ac:dyDescent="0.15">
      <c r="E898" s="3" t="str">
        <f ca="1">IFERROR(__xludf.DUMMYFUNCTION("""COMPUTED_VALUE"""),"")</f>
        <v/>
      </c>
    </row>
    <row r="899" spans="5:5" ht="13" x14ac:dyDescent="0.15">
      <c r="E899" s="3" t="str">
        <f ca="1">IFERROR(__xludf.DUMMYFUNCTION("""COMPUTED_VALUE"""),"")</f>
        <v/>
      </c>
    </row>
    <row r="900" spans="5:5" ht="13" x14ac:dyDescent="0.15">
      <c r="E900" s="3" t="str">
        <f ca="1">IFERROR(__xludf.DUMMYFUNCTION("""COMPUTED_VALUE"""),"")</f>
        <v/>
      </c>
    </row>
    <row r="901" spans="5:5" ht="13" x14ac:dyDescent="0.15">
      <c r="E901" s="3" t="str">
        <f ca="1">IFERROR(__xludf.DUMMYFUNCTION("""COMPUTED_VALUE"""),"")</f>
        <v/>
      </c>
    </row>
    <row r="902" spans="5:5" ht="13" x14ac:dyDescent="0.15">
      <c r="E902" s="3" t="str">
        <f ca="1">IFERROR(__xludf.DUMMYFUNCTION("""COMPUTED_VALUE"""),"")</f>
        <v/>
      </c>
    </row>
    <row r="903" spans="5:5" ht="13" x14ac:dyDescent="0.15">
      <c r="E903" s="3" t="str">
        <f ca="1">IFERROR(__xludf.DUMMYFUNCTION("""COMPUTED_VALUE"""),"")</f>
        <v/>
      </c>
    </row>
    <row r="904" spans="5:5" ht="13" x14ac:dyDescent="0.15">
      <c r="E904" s="3" t="str">
        <f ca="1">IFERROR(__xludf.DUMMYFUNCTION("""COMPUTED_VALUE"""),"")</f>
        <v/>
      </c>
    </row>
    <row r="905" spans="5:5" ht="13" x14ac:dyDescent="0.15">
      <c r="E905" s="3" t="str">
        <f ca="1">IFERROR(__xludf.DUMMYFUNCTION("""COMPUTED_VALUE"""),"")</f>
        <v/>
      </c>
    </row>
    <row r="906" spans="5:5" ht="13" x14ac:dyDescent="0.15">
      <c r="E906" s="3" t="str">
        <f ca="1">IFERROR(__xludf.DUMMYFUNCTION("""COMPUTED_VALUE"""),"")</f>
        <v/>
      </c>
    </row>
    <row r="907" spans="5:5" ht="13" x14ac:dyDescent="0.15">
      <c r="E907" s="3" t="str">
        <f ca="1">IFERROR(__xludf.DUMMYFUNCTION("""COMPUTED_VALUE"""),"")</f>
        <v/>
      </c>
    </row>
    <row r="908" spans="5:5" ht="13" x14ac:dyDescent="0.15">
      <c r="E908" s="3" t="str">
        <f ca="1">IFERROR(__xludf.DUMMYFUNCTION("""COMPUTED_VALUE"""),"")</f>
        <v/>
      </c>
    </row>
    <row r="909" spans="5:5" ht="13" x14ac:dyDescent="0.15">
      <c r="E909" s="3" t="str">
        <f ca="1">IFERROR(__xludf.DUMMYFUNCTION("""COMPUTED_VALUE"""),"")</f>
        <v/>
      </c>
    </row>
    <row r="910" spans="5:5" ht="13" x14ac:dyDescent="0.15">
      <c r="E910" s="3" t="str">
        <f ca="1">IFERROR(__xludf.DUMMYFUNCTION("""COMPUTED_VALUE"""),"")</f>
        <v/>
      </c>
    </row>
    <row r="911" spans="5:5" ht="13" x14ac:dyDescent="0.15">
      <c r="E911" s="3" t="str">
        <f ca="1">IFERROR(__xludf.DUMMYFUNCTION("""COMPUTED_VALUE"""),"")</f>
        <v/>
      </c>
    </row>
    <row r="912" spans="5:5" ht="13" x14ac:dyDescent="0.15">
      <c r="E912" s="3" t="str">
        <f ca="1">IFERROR(__xludf.DUMMYFUNCTION("""COMPUTED_VALUE"""),"")</f>
        <v/>
      </c>
    </row>
    <row r="913" spans="5:5" ht="13" x14ac:dyDescent="0.15">
      <c r="E913" s="3" t="str">
        <f ca="1">IFERROR(__xludf.DUMMYFUNCTION("""COMPUTED_VALUE"""),"")</f>
        <v/>
      </c>
    </row>
    <row r="914" spans="5:5" ht="13" x14ac:dyDescent="0.15">
      <c r="E914" s="3" t="str">
        <f ca="1">IFERROR(__xludf.DUMMYFUNCTION("""COMPUTED_VALUE"""),"")</f>
        <v/>
      </c>
    </row>
    <row r="915" spans="5:5" ht="13" x14ac:dyDescent="0.15">
      <c r="E915" s="3" t="str">
        <f ca="1">IFERROR(__xludf.DUMMYFUNCTION("""COMPUTED_VALUE"""),"")</f>
        <v/>
      </c>
    </row>
    <row r="916" spans="5:5" ht="13" x14ac:dyDescent="0.15">
      <c r="E916" s="3" t="str">
        <f ca="1">IFERROR(__xludf.DUMMYFUNCTION("""COMPUTED_VALUE"""),"")</f>
        <v/>
      </c>
    </row>
    <row r="917" spans="5:5" ht="13" x14ac:dyDescent="0.15">
      <c r="E917" s="3" t="str">
        <f ca="1">IFERROR(__xludf.DUMMYFUNCTION("""COMPUTED_VALUE"""),"")</f>
        <v/>
      </c>
    </row>
    <row r="918" spans="5:5" ht="13" x14ac:dyDescent="0.15">
      <c r="E918" s="3" t="str">
        <f ca="1">IFERROR(__xludf.DUMMYFUNCTION("""COMPUTED_VALUE"""),"")</f>
        <v/>
      </c>
    </row>
    <row r="919" spans="5:5" ht="13" x14ac:dyDescent="0.15">
      <c r="E919" s="3" t="str">
        <f ca="1">IFERROR(__xludf.DUMMYFUNCTION("""COMPUTED_VALUE"""),"")</f>
        <v/>
      </c>
    </row>
    <row r="920" spans="5:5" ht="13" x14ac:dyDescent="0.15">
      <c r="E920" s="3" t="str">
        <f ca="1">IFERROR(__xludf.DUMMYFUNCTION("""COMPUTED_VALUE"""),"")</f>
        <v/>
      </c>
    </row>
    <row r="921" spans="5:5" ht="13" x14ac:dyDescent="0.15">
      <c r="E921" s="3" t="str">
        <f ca="1">IFERROR(__xludf.DUMMYFUNCTION("""COMPUTED_VALUE"""),"")</f>
        <v/>
      </c>
    </row>
    <row r="922" spans="5:5" ht="13" x14ac:dyDescent="0.15">
      <c r="E922" s="3" t="str">
        <f ca="1">IFERROR(__xludf.DUMMYFUNCTION("""COMPUTED_VALUE"""),"")</f>
        <v/>
      </c>
    </row>
    <row r="923" spans="5:5" ht="13" x14ac:dyDescent="0.15">
      <c r="E923" s="3" t="str">
        <f ca="1">IFERROR(__xludf.DUMMYFUNCTION("""COMPUTED_VALUE"""),"")</f>
        <v/>
      </c>
    </row>
    <row r="924" spans="5:5" ht="13" x14ac:dyDescent="0.15">
      <c r="E924" s="3" t="str">
        <f ca="1">IFERROR(__xludf.DUMMYFUNCTION("""COMPUTED_VALUE"""),"")</f>
        <v/>
      </c>
    </row>
    <row r="925" spans="5:5" ht="13" x14ac:dyDescent="0.15">
      <c r="E925" s="3" t="str">
        <f ca="1">IFERROR(__xludf.DUMMYFUNCTION("""COMPUTED_VALUE"""),"")</f>
        <v/>
      </c>
    </row>
    <row r="926" spans="5:5" ht="13" x14ac:dyDescent="0.15">
      <c r="E926" s="3" t="str">
        <f ca="1">IFERROR(__xludf.DUMMYFUNCTION("""COMPUTED_VALUE"""),"")</f>
        <v/>
      </c>
    </row>
    <row r="927" spans="5:5" ht="13" x14ac:dyDescent="0.15">
      <c r="E927" s="3" t="str">
        <f ca="1">IFERROR(__xludf.DUMMYFUNCTION("""COMPUTED_VALUE"""),"")</f>
        <v/>
      </c>
    </row>
    <row r="928" spans="5:5" ht="13" x14ac:dyDescent="0.15">
      <c r="E928" s="3" t="str">
        <f ca="1">IFERROR(__xludf.DUMMYFUNCTION("""COMPUTED_VALUE"""),"")</f>
        <v/>
      </c>
    </row>
    <row r="929" spans="5:5" ht="13" x14ac:dyDescent="0.15">
      <c r="E929" s="3" t="str">
        <f ca="1">IFERROR(__xludf.DUMMYFUNCTION("""COMPUTED_VALUE"""),"")</f>
        <v/>
      </c>
    </row>
    <row r="930" spans="5:5" ht="13" x14ac:dyDescent="0.15">
      <c r="E930" s="3" t="str">
        <f ca="1">IFERROR(__xludf.DUMMYFUNCTION("""COMPUTED_VALUE"""),"")</f>
        <v/>
      </c>
    </row>
    <row r="931" spans="5:5" ht="13" x14ac:dyDescent="0.15">
      <c r="E931" s="3" t="str">
        <f ca="1">IFERROR(__xludf.DUMMYFUNCTION("""COMPUTED_VALUE"""),"")</f>
        <v/>
      </c>
    </row>
    <row r="932" spans="5:5" ht="13" x14ac:dyDescent="0.15">
      <c r="E932" s="3" t="str">
        <f ca="1">IFERROR(__xludf.DUMMYFUNCTION("""COMPUTED_VALUE"""),"")</f>
        <v/>
      </c>
    </row>
    <row r="933" spans="5:5" ht="13" x14ac:dyDescent="0.15">
      <c r="E933" s="3" t="str">
        <f ca="1">IFERROR(__xludf.DUMMYFUNCTION("""COMPUTED_VALUE"""),"")</f>
        <v/>
      </c>
    </row>
    <row r="934" spans="5:5" ht="13" x14ac:dyDescent="0.15">
      <c r="E934" s="3" t="str">
        <f ca="1">IFERROR(__xludf.DUMMYFUNCTION("""COMPUTED_VALUE"""),"")</f>
        <v/>
      </c>
    </row>
    <row r="935" spans="5:5" ht="13" x14ac:dyDescent="0.15">
      <c r="E935" s="3" t="str">
        <f ca="1">IFERROR(__xludf.DUMMYFUNCTION("""COMPUTED_VALUE"""),"")</f>
        <v/>
      </c>
    </row>
    <row r="936" spans="5:5" ht="13" x14ac:dyDescent="0.15">
      <c r="E936" s="3" t="str">
        <f ca="1">IFERROR(__xludf.DUMMYFUNCTION("""COMPUTED_VALUE"""),"")</f>
        <v/>
      </c>
    </row>
    <row r="937" spans="5:5" ht="13" x14ac:dyDescent="0.15">
      <c r="E937" s="3" t="str">
        <f ca="1">IFERROR(__xludf.DUMMYFUNCTION("""COMPUTED_VALUE"""),"")</f>
        <v/>
      </c>
    </row>
    <row r="938" spans="5:5" ht="13" x14ac:dyDescent="0.15">
      <c r="E938" s="3" t="str">
        <f ca="1">IFERROR(__xludf.DUMMYFUNCTION("""COMPUTED_VALUE"""),"")</f>
        <v/>
      </c>
    </row>
    <row r="939" spans="5:5" ht="13" x14ac:dyDescent="0.15">
      <c r="E939" s="3" t="str">
        <f ca="1">IFERROR(__xludf.DUMMYFUNCTION("""COMPUTED_VALUE"""),"")</f>
        <v/>
      </c>
    </row>
    <row r="940" spans="5:5" ht="13" x14ac:dyDescent="0.15">
      <c r="E940" s="3" t="str">
        <f ca="1">IFERROR(__xludf.DUMMYFUNCTION("""COMPUTED_VALUE"""),"")</f>
        <v/>
      </c>
    </row>
    <row r="941" spans="5:5" ht="13" x14ac:dyDescent="0.15">
      <c r="E941" s="3" t="str">
        <f ca="1">IFERROR(__xludf.DUMMYFUNCTION("""COMPUTED_VALUE"""),"")</f>
        <v/>
      </c>
    </row>
    <row r="942" spans="5:5" ht="13" x14ac:dyDescent="0.15">
      <c r="E942" s="3" t="str">
        <f ca="1">IFERROR(__xludf.DUMMYFUNCTION("""COMPUTED_VALUE"""),"")</f>
        <v/>
      </c>
    </row>
    <row r="943" spans="5:5" ht="13" x14ac:dyDescent="0.15">
      <c r="E943" s="3" t="str">
        <f ca="1">IFERROR(__xludf.DUMMYFUNCTION("""COMPUTED_VALUE"""),"")</f>
        <v/>
      </c>
    </row>
    <row r="944" spans="5:5" ht="13" x14ac:dyDescent="0.15">
      <c r="E944" s="3" t="str">
        <f ca="1">IFERROR(__xludf.DUMMYFUNCTION("""COMPUTED_VALUE"""),"")</f>
        <v/>
      </c>
    </row>
    <row r="945" spans="5:5" ht="13" x14ac:dyDescent="0.15">
      <c r="E945" s="3" t="str">
        <f ca="1">IFERROR(__xludf.DUMMYFUNCTION("""COMPUTED_VALUE"""),"")</f>
        <v/>
      </c>
    </row>
    <row r="946" spans="5:5" ht="13" x14ac:dyDescent="0.15">
      <c r="E946" s="3" t="str">
        <f ca="1">IFERROR(__xludf.DUMMYFUNCTION("""COMPUTED_VALUE"""),"")</f>
        <v/>
      </c>
    </row>
    <row r="947" spans="5:5" ht="13" x14ac:dyDescent="0.15">
      <c r="E947" s="3" t="str">
        <f ca="1">IFERROR(__xludf.DUMMYFUNCTION("""COMPUTED_VALUE"""),"")</f>
        <v/>
      </c>
    </row>
    <row r="948" spans="5:5" ht="13" x14ac:dyDescent="0.15">
      <c r="E948" s="3" t="str">
        <f ca="1">IFERROR(__xludf.DUMMYFUNCTION("""COMPUTED_VALUE"""),"")</f>
        <v/>
      </c>
    </row>
    <row r="949" spans="5:5" ht="13" x14ac:dyDescent="0.15">
      <c r="E949" s="3" t="str">
        <f ca="1">IFERROR(__xludf.DUMMYFUNCTION("""COMPUTED_VALUE"""),"")</f>
        <v/>
      </c>
    </row>
    <row r="950" spans="5:5" ht="13" x14ac:dyDescent="0.15">
      <c r="E950" s="3" t="str">
        <f ca="1">IFERROR(__xludf.DUMMYFUNCTION("""COMPUTED_VALUE"""),"")</f>
        <v/>
      </c>
    </row>
    <row r="951" spans="5:5" ht="13" x14ac:dyDescent="0.15">
      <c r="E951" s="3" t="str">
        <f ca="1">IFERROR(__xludf.DUMMYFUNCTION("""COMPUTED_VALUE"""),"")</f>
        <v/>
      </c>
    </row>
    <row r="952" spans="5:5" ht="13" x14ac:dyDescent="0.15">
      <c r="E952" s="3" t="str">
        <f ca="1">IFERROR(__xludf.DUMMYFUNCTION("""COMPUTED_VALUE"""),"")</f>
        <v/>
      </c>
    </row>
    <row r="953" spans="5:5" ht="13" x14ac:dyDescent="0.15">
      <c r="E953" s="3" t="str">
        <f ca="1">IFERROR(__xludf.DUMMYFUNCTION("""COMPUTED_VALUE"""),"")</f>
        <v/>
      </c>
    </row>
    <row r="954" spans="5:5" ht="13" x14ac:dyDescent="0.15">
      <c r="E954" s="3" t="str">
        <f ca="1">IFERROR(__xludf.DUMMYFUNCTION("""COMPUTED_VALUE"""),"")</f>
        <v/>
      </c>
    </row>
    <row r="955" spans="5:5" ht="13" x14ac:dyDescent="0.15">
      <c r="E955" s="3" t="str">
        <f ca="1">IFERROR(__xludf.DUMMYFUNCTION("""COMPUTED_VALUE"""),"")</f>
        <v/>
      </c>
    </row>
    <row r="956" spans="5:5" ht="13" x14ac:dyDescent="0.15">
      <c r="E956" s="3" t="str">
        <f ca="1">IFERROR(__xludf.DUMMYFUNCTION("""COMPUTED_VALUE"""),"")</f>
        <v/>
      </c>
    </row>
    <row r="957" spans="5:5" ht="13" x14ac:dyDescent="0.15">
      <c r="E957" s="3" t="str">
        <f ca="1">IFERROR(__xludf.DUMMYFUNCTION("""COMPUTED_VALUE"""),"")</f>
        <v/>
      </c>
    </row>
    <row r="958" spans="5:5" ht="13" x14ac:dyDescent="0.15">
      <c r="E958" s="3" t="str">
        <f ca="1">IFERROR(__xludf.DUMMYFUNCTION("""COMPUTED_VALUE"""),"")</f>
        <v/>
      </c>
    </row>
    <row r="959" spans="5:5" ht="13" x14ac:dyDescent="0.15">
      <c r="E959" s="3" t="str">
        <f ca="1">IFERROR(__xludf.DUMMYFUNCTION("""COMPUTED_VALUE"""),"")</f>
        <v/>
      </c>
    </row>
    <row r="960" spans="5:5" ht="13" x14ac:dyDescent="0.15">
      <c r="E960" s="3" t="str">
        <f ca="1">IFERROR(__xludf.DUMMYFUNCTION("""COMPUTED_VALUE"""),"")</f>
        <v/>
      </c>
    </row>
    <row r="961" spans="5:5" ht="13" x14ac:dyDescent="0.15">
      <c r="E961" s="3" t="str">
        <f ca="1">IFERROR(__xludf.DUMMYFUNCTION("""COMPUTED_VALUE"""),"")</f>
        <v/>
      </c>
    </row>
    <row r="962" spans="5:5" ht="13" x14ac:dyDescent="0.15">
      <c r="E962" s="3" t="str">
        <f ca="1">IFERROR(__xludf.DUMMYFUNCTION("""COMPUTED_VALUE"""),"")</f>
        <v/>
      </c>
    </row>
    <row r="963" spans="5:5" ht="13" x14ac:dyDescent="0.15">
      <c r="E963" s="3" t="str">
        <f ca="1">IFERROR(__xludf.DUMMYFUNCTION("""COMPUTED_VALUE"""),"")</f>
        <v/>
      </c>
    </row>
    <row r="964" spans="5:5" ht="13" x14ac:dyDescent="0.15">
      <c r="E964" s="3" t="str">
        <f ca="1">IFERROR(__xludf.DUMMYFUNCTION("""COMPUTED_VALUE"""),"")</f>
        <v/>
      </c>
    </row>
    <row r="965" spans="5:5" ht="13" x14ac:dyDescent="0.15">
      <c r="E965" s="3" t="str">
        <f ca="1">IFERROR(__xludf.DUMMYFUNCTION("""COMPUTED_VALUE"""),"")</f>
        <v/>
      </c>
    </row>
    <row r="966" spans="5:5" ht="13" x14ac:dyDescent="0.15">
      <c r="E966" s="3" t="str">
        <f ca="1">IFERROR(__xludf.DUMMYFUNCTION("""COMPUTED_VALUE"""),"")</f>
        <v/>
      </c>
    </row>
    <row r="967" spans="5:5" ht="13" x14ac:dyDescent="0.15">
      <c r="E967" s="3" t="str">
        <f ca="1">IFERROR(__xludf.DUMMYFUNCTION("""COMPUTED_VALUE"""),"")</f>
        <v/>
      </c>
    </row>
    <row r="968" spans="5:5" ht="13" x14ac:dyDescent="0.15">
      <c r="E968" s="3" t="str">
        <f ca="1">IFERROR(__xludf.DUMMYFUNCTION("""COMPUTED_VALUE"""),"")</f>
        <v/>
      </c>
    </row>
    <row r="969" spans="5:5" ht="13" x14ac:dyDescent="0.15">
      <c r="E969" s="3" t="str">
        <f ca="1">IFERROR(__xludf.DUMMYFUNCTION("""COMPUTED_VALUE"""),"")</f>
        <v/>
      </c>
    </row>
    <row r="970" spans="5:5" ht="13" x14ac:dyDescent="0.15">
      <c r="E970" s="3" t="str">
        <f ca="1">IFERROR(__xludf.DUMMYFUNCTION("""COMPUTED_VALUE"""),"")</f>
        <v/>
      </c>
    </row>
    <row r="971" spans="5:5" ht="13" x14ac:dyDescent="0.15">
      <c r="E971" s="3" t="str">
        <f ca="1">IFERROR(__xludf.DUMMYFUNCTION("""COMPUTED_VALUE"""),"")</f>
        <v/>
      </c>
    </row>
    <row r="972" spans="5:5" ht="13" x14ac:dyDescent="0.15">
      <c r="E972" s="3" t="str">
        <f ca="1">IFERROR(__xludf.DUMMYFUNCTION("""COMPUTED_VALUE"""),"")</f>
        <v/>
      </c>
    </row>
    <row r="973" spans="5:5" ht="13" x14ac:dyDescent="0.15">
      <c r="E973" s="3" t="str">
        <f ca="1">IFERROR(__xludf.DUMMYFUNCTION("""COMPUTED_VALUE"""),"")</f>
        <v/>
      </c>
    </row>
    <row r="974" spans="5:5" ht="13" x14ac:dyDescent="0.15">
      <c r="E974" s="3" t="str">
        <f ca="1">IFERROR(__xludf.DUMMYFUNCTION("""COMPUTED_VALUE"""),"")</f>
        <v/>
      </c>
    </row>
    <row r="975" spans="5:5" ht="13" x14ac:dyDescent="0.15">
      <c r="E975" s="3" t="str">
        <f ca="1">IFERROR(__xludf.DUMMYFUNCTION("""COMPUTED_VALUE"""),"")</f>
        <v/>
      </c>
    </row>
    <row r="976" spans="5:5" ht="13" x14ac:dyDescent="0.15">
      <c r="E976" s="3" t="str">
        <f ca="1">IFERROR(__xludf.DUMMYFUNCTION("""COMPUTED_VALUE"""),"")</f>
        <v/>
      </c>
    </row>
    <row r="977" spans="5:5" ht="13" x14ac:dyDescent="0.15">
      <c r="E977" s="3" t="str">
        <f ca="1">IFERROR(__xludf.DUMMYFUNCTION("""COMPUTED_VALUE"""),"")</f>
        <v/>
      </c>
    </row>
    <row r="978" spans="5:5" ht="13" x14ac:dyDescent="0.15">
      <c r="E978" s="3" t="str">
        <f ca="1">IFERROR(__xludf.DUMMYFUNCTION("""COMPUTED_VALUE"""),"")</f>
        <v/>
      </c>
    </row>
    <row r="979" spans="5:5" ht="13" x14ac:dyDescent="0.15">
      <c r="E979" s="3" t="str">
        <f ca="1">IFERROR(__xludf.DUMMYFUNCTION("""COMPUTED_VALUE"""),"")</f>
        <v/>
      </c>
    </row>
    <row r="980" spans="5:5" ht="13" x14ac:dyDescent="0.15">
      <c r="E980" s="3" t="str">
        <f ca="1">IFERROR(__xludf.DUMMYFUNCTION("""COMPUTED_VALUE"""),"")</f>
        <v/>
      </c>
    </row>
    <row r="981" spans="5:5" ht="13" x14ac:dyDescent="0.15">
      <c r="E981" s="3" t="str">
        <f ca="1">IFERROR(__xludf.DUMMYFUNCTION("""COMPUTED_VALUE"""),"")</f>
        <v/>
      </c>
    </row>
    <row r="982" spans="5:5" ht="13" x14ac:dyDescent="0.15">
      <c r="E982" s="3" t="str">
        <f ca="1">IFERROR(__xludf.DUMMYFUNCTION("""COMPUTED_VALUE"""),"")</f>
        <v/>
      </c>
    </row>
    <row r="983" spans="5:5" ht="13" x14ac:dyDescent="0.15">
      <c r="E983" s="3" t="str">
        <f ca="1">IFERROR(__xludf.DUMMYFUNCTION("""COMPUTED_VALUE"""),"")</f>
        <v/>
      </c>
    </row>
    <row r="984" spans="5:5" ht="13" x14ac:dyDescent="0.15">
      <c r="E984" s="3" t="str">
        <f ca="1">IFERROR(__xludf.DUMMYFUNCTION("""COMPUTED_VALUE"""),"")</f>
        <v/>
      </c>
    </row>
    <row r="985" spans="5:5" ht="13" x14ac:dyDescent="0.15">
      <c r="E985" s="3" t="str">
        <f ca="1">IFERROR(__xludf.DUMMYFUNCTION("""COMPUTED_VALUE"""),"")</f>
        <v/>
      </c>
    </row>
    <row r="986" spans="5:5" ht="13" x14ac:dyDescent="0.15">
      <c r="E986" s="3" t="str">
        <f ca="1">IFERROR(__xludf.DUMMYFUNCTION("""COMPUTED_VALUE"""),"")</f>
        <v/>
      </c>
    </row>
    <row r="987" spans="5:5" ht="13" x14ac:dyDescent="0.15">
      <c r="E987" s="3" t="str">
        <f ca="1">IFERROR(__xludf.DUMMYFUNCTION("""COMPUTED_VALUE"""),"")</f>
        <v/>
      </c>
    </row>
    <row r="988" spans="5:5" ht="13" x14ac:dyDescent="0.15">
      <c r="E988" s="3" t="str">
        <f ca="1">IFERROR(__xludf.DUMMYFUNCTION("""COMPUTED_VALUE"""),"")</f>
        <v/>
      </c>
    </row>
    <row r="989" spans="5:5" ht="13" x14ac:dyDescent="0.15">
      <c r="E989" s="3" t="str">
        <f ca="1">IFERROR(__xludf.DUMMYFUNCTION("""COMPUTED_VALUE"""),"")</f>
        <v/>
      </c>
    </row>
    <row r="990" spans="5:5" ht="13" x14ac:dyDescent="0.15">
      <c r="E990" s="3" t="str">
        <f ca="1">IFERROR(__xludf.DUMMYFUNCTION("""COMPUTED_VALUE"""),"")</f>
        <v/>
      </c>
    </row>
    <row r="991" spans="5:5" ht="13" x14ac:dyDescent="0.15">
      <c r="E991" s="3" t="str">
        <f ca="1">IFERROR(__xludf.DUMMYFUNCTION("""COMPUTED_VALUE"""),"")</f>
        <v/>
      </c>
    </row>
    <row r="992" spans="5:5" ht="13" x14ac:dyDescent="0.15">
      <c r="E992" s="3" t="str">
        <f ca="1">IFERROR(__xludf.DUMMYFUNCTION("""COMPUTED_VALUE"""),"")</f>
        <v/>
      </c>
    </row>
    <row r="993" spans="5:5" ht="13" x14ac:dyDescent="0.15">
      <c r="E993" s="3" t="str">
        <f ca="1">IFERROR(__xludf.DUMMYFUNCTION("""COMPUTED_VALUE"""),"")</f>
        <v/>
      </c>
    </row>
  </sheetData>
  <autoFilter ref="A1:AA993" xr:uid="{00000000-0009-0000-0000-000002000000}">
    <filterColumn colId="5">
      <filters blank="1">
        <filter val="Accepted"/>
        <filter val="Needs Review"/>
      </filters>
    </filterColumn>
  </autoFilter>
  <customSheetViews>
    <customSheetView guid="{5776F60D-345E-4EBB-B045-2BE975E46129}" filter="1" showAutoFilter="1">
      <pageMargins left="0.7" right="0.7" top="0.75" bottom="0.75" header="0.3" footer="0.3"/>
      <autoFilter ref="A1:F124" xr:uid="{6A88BBFC-C544-2044-B9BF-FCE5C7C575E6}">
        <filterColumn colId="4">
          <filters>
            <filter val="TRUE"/>
          </filters>
        </filterColumn>
        <filterColumn colId="5">
          <filters blank="1">
            <filter val="Accepted"/>
            <filter val="Needs Review"/>
          </filters>
        </filterColumn>
      </autoFilter>
    </customSheetView>
  </customSheetViews>
  <dataValidations disablePrompts="1" count="1">
    <dataValidation type="list" allowBlank="1" showErrorMessage="1" sqref="F2:F116" xr:uid="{00000000-0002-0000-0200-000000000000}">
      <formula1>"Needs Review,Rejected,Accepted"</formula1>
    </dataValidation>
  </dataValidations>
  <hyperlinks>
    <hyperlink ref="B2" r:id="rId1" xr:uid="{00000000-0004-0000-0200-000000000000}"/>
    <hyperlink ref="B3" r:id="rId2" xr:uid="{00000000-0004-0000-0200-000001000000}"/>
    <hyperlink ref="B4" r:id="rId3" xr:uid="{00000000-0004-0000-0200-000002000000}"/>
    <hyperlink ref="B5" r:id="rId4" xr:uid="{00000000-0004-0000-0200-000003000000}"/>
    <hyperlink ref="B6" r:id="rId5" xr:uid="{00000000-0004-0000-0200-000004000000}"/>
    <hyperlink ref="B7" r:id="rId6" xr:uid="{00000000-0004-0000-0200-000005000000}"/>
    <hyperlink ref="B8" r:id="rId7" xr:uid="{00000000-0004-0000-0200-000006000000}"/>
    <hyperlink ref="B9" r:id="rId8" xr:uid="{00000000-0004-0000-0200-000007000000}"/>
    <hyperlink ref="B10" r:id="rId9" xr:uid="{00000000-0004-0000-0200-000009000000}"/>
    <hyperlink ref="B11" r:id="rId10" xr:uid="{00000000-0004-0000-0200-00000A000000}"/>
    <hyperlink ref="B12" r:id="rId11" xr:uid="{00000000-0004-0000-0200-00000B000000}"/>
    <hyperlink ref="B13" r:id="rId12" xr:uid="{00000000-0004-0000-0200-00000C000000}"/>
    <hyperlink ref="B14" r:id="rId13" xr:uid="{00000000-0004-0000-0200-00000D000000}"/>
    <hyperlink ref="B15" r:id="rId14" xr:uid="{00000000-0004-0000-0200-00000E000000}"/>
    <hyperlink ref="B16" r:id="rId15" xr:uid="{00000000-0004-0000-0200-00000F000000}"/>
    <hyperlink ref="B17" r:id="rId16" xr:uid="{00000000-0004-0000-0200-000010000000}"/>
    <hyperlink ref="B18" r:id="rId17" xr:uid="{00000000-0004-0000-0200-000012000000}"/>
    <hyperlink ref="B19" r:id="rId18" xr:uid="{00000000-0004-0000-0200-000013000000}"/>
    <hyperlink ref="B20" r:id="rId19" xr:uid="{00000000-0004-0000-0200-000014000000}"/>
    <hyperlink ref="B21" r:id="rId20" xr:uid="{00000000-0004-0000-0200-000015000000}"/>
    <hyperlink ref="B22" r:id="rId21" xr:uid="{00000000-0004-0000-0200-000017000000}"/>
    <hyperlink ref="B23" r:id="rId22" xr:uid="{00000000-0004-0000-0200-000018000000}"/>
    <hyperlink ref="B24" r:id="rId23" xr:uid="{00000000-0004-0000-0200-000019000000}"/>
    <hyperlink ref="B25" r:id="rId24" xr:uid="{00000000-0004-0000-0200-00001B000000}"/>
    <hyperlink ref="B26" r:id="rId25" xr:uid="{00000000-0004-0000-0200-00001C000000}"/>
    <hyperlink ref="B27" r:id="rId26" xr:uid="{00000000-0004-0000-0200-00001D000000}"/>
    <hyperlink ref="B28" r:id="rId27" xr:uid="{00000000-0004-0000-0200-00001E000000}"/>
    <hyperlink ref="B29" r:id="rId28" xr:uid="{00000000-0004-0000-0200-00001F000000}"/>
    <hyperlink ref="B30" r:id="rId29" xr:uid="{00000000-0004-0000-0200-000020000000}"/>
    <hyperlink ref="B31" r:id="rId30" xr:uid="{00000000-0004-0000-0200-000022000000}"/>
    <hyperlink ref="B32" r:id="rId31" xr:uid="{00000000-0004-0000-0200-000023000000}"/>
    <hyperlink ref="B33" r:id="rId32" xr:uid="{00000000-0004-0000-0200-000024000000}"/>
    <hyperlink ref="B34" r:id="rId33" xr:uid="{00000000-0004-0000-0200-000025000000}"/>
    <hyperlink ref="B35" r:id="rId34" xr:uid="{00000000-0004-0000-0200-000026000000}"/>
    <hyperlink ref="B36" r:id="rId35" xr:uid="{00000000-0004-0000-0200-000028000000}"/>
    <hyperlink ref="B37" r:id="rId36" xr:uid="{00000000-0004-0000-0200-000029000000}"/>
    <hyperlink ref="B38" r:id="rId37" xr:uid="{00000000-0004-0000-0200-00002A000000}"/>
    <hyperlink ref="B39" r:id="rId38" xr:uid="{00000000-0004-0000-0200-00002B000000}"/>
    <hyperlink ref="B40" r:id="rId39" xr:uid="{00000000-0004-0000-0200-00002C000000}"/>
    <hyperlink ref="B41" r:id="rId40" xr:uid="{00000000-0004-0000-0200-00002D000000}"/>
    <hyperlink ref="B42" r:id="rId41" xr:uid="{00000000-0004-0000-0200-00002E000000}"/>
    <hyperlink ref="B43" r:id="rId42" xr:uid="{00000000-0004-0000-0200-00002F000000}"/>
    <hyperlink ref="B44" r:id="rId43" xr:uid="{00000000-0004-0000-0200-000030000000}"/>
    <hyperlink ref="B45" r:id="rId44" xr:uid="{00000000-0004-0000-0200-000031000000}"/>
    <hyperlink ref="B46" r:id="rId45" xr:uid="{00000000-0004-0000-0200-000032000000}"/>
    <hyperlink ref="B47" r:id="rId46" xr:uid="{00000000-0004-0000-0200-000033000000}"/>
    <hyperlink ref="B48" r:id="rId47" xr:uid="{00000000-0004-0000-0200-000034000000}"/>
    <hyperlink ref="B49" r:id="rId48" xr:uid="{00000000-0004-0000-0200-000035000000}"/>
    <hyperlink ref="B50" r:id="rId49" xr:uid="{00000000-0004-0000-0200-000036000000}"/>
    <hyperlink ref="B51" r:id="rId50" xr:uid="{00000000-0004-0000-0200-000037000000}"/>
    <hyperlink ref="B52" r:id="rId51" xr:uid="{00000000-0004-0000-0200-000039000000}"/>
    <hyperlink ref="B53" r:id="rId52" xr:uid="{00000000-0004-0000-0200-00003A000000}"/>
    <hyperlink ref="B54" r:id="rId53" xr:uid="{00000000-0004-0000-0200-00003B000000}"/>
    <hyperlink ref="B55" r:id="rId54" xr:uid="{00000000-0004-0000-0200-00003C000000}"/>
    <hyperlink ref="B56" r:id="rId55" xr:uid="{00000000-0004-0000-0200-00003D000000}"/>
    <hyperlink ref="B57" r:id="rId56" xr:uid="{00000000-0004-0000-0200-00003E000000}"/>
    <hyperlink ref="B58" r:id="rId57" xr:uid="{00000000-0004-0000-0200-00003F000000}"/>
    <hyperlink ref="B59" r:id="rId58" xr:uid="{00000000-0004-0000-0200-000040000000}"/>
    <hyperlink ref="B60" r:id="rId59" xr:uid="{00000000-0004-0000-0200-000041000000}"/>
    <hyperlink ref="B61" r:id="rId60" xr:uid="{00000000-0004-0000-0200-000042000000}"/>
    <hyperlink ref="B62" r:id="rId61" xr:uid="{00000000-0004-0000-0200-000043000000}"/>
    <hyperlink ref="B63" r:id="rId62" xr:uid="{00000000-0004-0000-0200-000044000000}"/>
    <hyperlink ref="B64" r:id="rId63" xr:uid="{00000000-0004-0000-0200-000045000000}"/>
    <hyperlink ref="B65" r:id="rId64" xr:uid="{00000000-0004-0000-0200-000046000000}"/>
    <hyperlink ref="B66" r:id="rId65" xr:uid="{00000000-0004-0000-0200-000047000000}"/>
    <hyperlink ref="B67" r:id="rId66" xr:uid="{00000000-0004-0000-0200-000048000000}"/>
    <hyperlink ref="B68" r:id="rId67" xr:uid="{00000000-0004-0000-0200-000049000000}"/>
    <hyperlink ref="B69" r:id="rId68" xr:uid="{00000000-0004-0000-0200-00004A000000}"/>
    <hyperlink ref="B70" r:id="rId69" xr:uid="{00000000-0004-0000-0200-00004B000000}"/>
    <hyperlink ref="B71" r:id="rId70" xr:uid="{00000000-0004-0000-0200-00004C000000}"/>
    <hyperlink ref="B72" r:id="rId71" xr:uid="{00000000-0004-0000-0200-00004D000000}"/>
    <hyperlink ref="B73" r:id="rId72" xr:uid="{00000000-0004-0000-0200-00004E000000}"/>
    <hyperlink ref="B74" r:id="rId73" xr:uid="{00000000-0004-0000-0200-00004F000000}"/>
    <hyperlink ref="B76" r:id="rId74" xr:uid="{00000000-0004-0000-0200-000050000000}"/>
    <hyperlink ref="B77" r:id="rId75" xr:uid="{00000000-0004-0000-0200-000051000000}"/>
    <hyperlink ref="B78" r:id="rId76" xr:uid="{00000000-0004-0000-0200-000052000000}"/>
    <hyperlink ref="B79" r:id="rId77" xr:uid="{00000000-0004-0000-0200-000053000000}"/>
    <hyperlink ref="B80" r:id="rId78" xr:uid="{00000000-0004-0000-0200-000054000000}"/>
    <hyperlink ref="B81" r:id="rId79" xr:uid="{00000000-0004-0000-0200-000055000000}"/>
    <hyperlink ref="B82" r:id="rId80" xr:uid="{00000000-0004-0000-0200-000056000000}"/>
    <hyperlink ref="B83" r:id="rId81" xr:uid="{00000000-0004-0000-0200-000057000000}"/>
    <hyperlink ref="B84" r:id="rId82" xr:uid="{00000000-0004-0000-0200-000058000000}"/>
    <hyperlink ref="B85" r:id="rId83" xr:uid="{00000000-0004-0000-0200-000059000000}"/>
    <hyperlink ref="B86" r:id="rId84" xr:uid="{00000000-0004-0000-0200-00005A000000}"/>
    <hyperlink ref="B87" r:id="rId85" xr:uid="{00000000-0004-0000-0200-00005B000000}"/>
    <hyperlink ref="B88" r:id="rId86" xr:uid="{00000000-0004-0000-0200-00005C000000}"/>
    <hyperlink ref="B89" r:id="rId87" xr:uid="{00000000-0004-0000-0200-00005D000000}"/>
    <hyperlink ref="B90" r:id="rId88" xr:uid="{00000000-0004-0000-0200-00005E000000}"/>
    <hyperlink ref="B91" r:id="rId89" xr:uid="{00000000-0004-0000-0200-00005F000000}"/>
    <hyperlink ref="B92" r:id="rId90" xr:uid="{00000000-0004-0000-0200-000060000000}"/>
    <hyperlink ref="B93" r:id="rId91" xr:uid="{00000000-0004-0000-0200-000061000000}"/>
    <hyperlink ref="B94" r:id="rId92" xr:uid="{00000000-0004-0000-0200-000062000000}"/>
    <hyperlink ref="B95" r:id="rId93" xr:uid="{00000000-0004-0000-0200-000063000000}"/>
    <hyperlink ref="B97" r:id="rId94" xr:uid="{00000000-0004-0000-0200-000064000000}"/>
    <hyperlink ref="B98" r:id="rId95" xr:uid="{00000000-0004-0000-0200-000065000000}"/>
    <hyperlink ref="B99" r:id="rId96" xr:uid="{00000000-0004-0000-0200-000066000000}"/>
    <hyperlink ref="B100" r:id="rId97" xr:uid="{00000000-0004-0000-0200-000067000000}"/>
    <hyperlink ref="B101" r:id="rId98" xr:uid="{00000000-0004-0000-0200-000068000000}"/>
    <hyperlink ref="B102" r:id="rId99" xr:uid="{00000000-0004-0000-0200-000069000000}"/>
    <hyperlink ref="B103" r:id="rId100" xr:uid="{00000000-0004-0000-0200-00006A000000}"/>
    <hyperlink ref="B104" r:id="rId101" xr:uid="{00000000-0004-0000-0200-00006B000000}"/>
    <hyperlink ref="B105" r:id="rId102" xr:uid="{00000000-0004-0000-0200-00006C000000}"/>
    <hyperlink ref="B106" r:id="rId103" xr:uid="{00000000-0004-0000-0200-00006D000000}"/>
    <hyperlink ref="B107" r:id="rId104" xr:uid="{00000000-0004-0000-0200-00006E000000}"/>
    <hyperlink ref="B108" r:id="rId105" xr:uid="{00000000-0004-0000-0200-00006F000000}"/>
    <hyperlink ref="B109" r:id="rId106" xr:uid="{00000000-0004-0000-0200-000070000000}"/>
    <hyperlink ref="B110" r:id="rId107" xr:uid="{00000000-0004-0000-0200-000071000000}"/>
    <hyperlink ref="B111" r:id="rId108" xr:uid="{00000000-0004-0000-0200-000072000000}"/>
    <hyperlink ref="B112" r:id="rId109" xr:uid="{00000000-0004-0000-0200-000073000000}"/>
    <hyperlink ref="B113" r:id="rId110" xr:uid="{00000000-0004-0000-0200-000074000000}"/>
    <hyperlink ref="B114" r:id="rId111" xr:uid="{00000000-0004-0000-0200-000075000000}"/>
    <hyperlink ref="B115" r:id="rId112" xr:uid="{00000000-0004-0000-0200-000076000000}"/>
    <hyperlink ref="B116" r:id="rId113" xr:uid="{00000000-0004-0000-0200-000077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A16"/>
  <sheetViews>
    <sheetView workbookViewId="0"/>
  </sheetViews>
  <sheetFormatPr baseColWidth="10" defaultColWidth="12.6640625" defaultRowHeight="15.75" customHeight="1" x14ac:dyDescent="0.15"/>
  <sheetData>
    <row r="2" spans="1:1" ht="15.75" customHeight="1" x14ac:dyDescent="0.15">
      <c r="A2" s="5"/>
    </row>
    <row r="4" spans="1:1" ht="15.75" customHeight="1" x14ac:dyDescent="0.15">
      <c r="A4" s="5"/>
    </row>
    <row r="6" spans="1:1" ht="15.75" customHeight="1" x14ac:dyDescent="0.15">
      <c r="A6" s="5"/>
    </row>
    <row r="8" spans="1:1" ht="15.75" customHeight="1" x14ac:dyDescent="0.15">
      <c r="A8" s="5"/>
    </row>
    <row r="10" spans="1:1" ht="15.75" customHeight="1" x14ac:dyDescent="0.15">
      <c r="A10" s="5"/>
    </row>
    <row r="12" spans="1:1" ht="15.75" customHeight="1" x14ac:dyDescent="0.15">
      <c r="A12" s="5"/>
    </row>
    <row r="14" spans="1:1" ht="15.75" customHeight="1" x14ac:dyDescent="0.15">
      <c r="A14" s="5"/>
    </row>
    <row r="16" spans="1:1" ht="15.75" customHeight="1" x14ac:dyDescent="0.15">
      <c r="A1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GA_Feeds</vt:lpstr>
      <vt:lpstr>Raw_GA</vt:lpstr>
      <vt:lpstr>Triage</vt:lpstr>
      <vt:lpstr>MasterFinal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 Moyer</cp:lastModifiedBy>
  <dcterms:modified xsi:type="dcterms:W3CDTF">2026-01-05T17:58:23Z</dcterms:modified>
</cp:coreProperties>
</file>